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summary" sheetId="2" r:id="rId6"/>
    <sheet state="visible" name="dashboard" sheetId="3" r:id="rId7"/>
  </sheets>
  <definedNames>
    <definedName hidden="1" localSheetId="0" name="_xlnm._FilterDatabase">'Raw data'!$J$1:$J$1000</definedName>
  </definedNames>
  <calcPr/>
</workbook>
</file>

<file path=xl/sharedStrings.xml><?xml version="1.0" encoding="utf-8"?>
<sst xmlns="http://schemas.openxmlformats.org/spreadsheetml/2006/main" count="3249" uniqueCount="441">
  <si>
    <t>Customer_ID</t>
  </si>
  <si>
    <t>Age</t>
  </si>
  <si>
    <t>Gender</t>
  </si>
  <si>
    <t>Income</t>
  </si>
  <si>
    <t>Employment_Status</t>
  </si>
  <si>
    <t>Loan_Amount</t>
  </si>
  <si>
    <t>Loan_Type</t>
  </si>
  <si>
    <t>Credit_Score</t>
  </si>
  <si>
    <t>Loan_Term_Months</t>
  </si>
  <si>
    <t>Region</t>
  </si>
  <si>
    <t>Repayment_Status</t>
  </si>
  <si>
    <t>Income Group</t>
  </si>
  <si>
    <t>Risk Level</t>
  </si>
  <si>
    <t>C0001</t>
  </si>
  <si>
    <t>Female</t>
  </si>
  <si>
    <t>Self-employed</t>
  </si>
  <si>
    <t>Personal</t>
  </si>
  <si>
    <t>Eldoret</t>
  </si>
  <si>
    <t>Defaulted</t>
  </si>
  <si>
    <t>High</t>
  </si>
  <si>
    <t>Low Risk</t>
  </si>
  <si>
    <t>C0002</t>
  </si>
  <si>
    <t>Employed</t>
  </si>
  <si>
    <t>Logbook</t>
  </si>
  <si>
    <t>Paid</t>
  </si>
  <si>
    <t>C0003</t>
  </si>
  <si>
    <t>Unemployed</t>
  </si>
  <si>
    <t>Mombasa</t>
  </si>
  <si>
    <t>Middle</t>
  </si>
  <si>
    <t>C0004</t>
  </si>
  <si>
    <t>C0005</t>
  </si>
  <si>
    <t>Male</t>
  </si>
  <si>
    <t>C0006</t>
  </si>
  <si>
    <t>SME</t>
  </si>
  <si>
    <t>Low</t>
  </si>
  <si>
    <t>C0007</t>
  </si>
  <si>
    <t>C0008</t>
  </si>
  <si>
    <t>C0009</t>
  </si>
  <si>
    <t>C0010</t>
  </si>
  <si>
    <t>C0011</t>
  </si>
  <si>
    <t>C0012</t>
  </si>
  <si>
    <t>C0013</t>
  </si>
  <si>
    <t>Nairobi</t>
  </si>
  <si>
    <t>C0014</t>
  </si>
  <si>
    <t>C0015</t>
  </si>
  <si>
    <t>Kisumu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</si>
  <si>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</si>
  <si>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</si>
  <si>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</si>
  <si>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</si>
  <si>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</si>
  <si>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</si>
  <si>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</si>
  <si>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</si>
  <si>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</si>
  <si>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</si>
  <si>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</si>
  <si>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</si>
  <si>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</si>
  <si>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</si>
  <si>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</si>
  <si>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</si>
  <si>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</si>
  <si>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</si>
  <si>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</si>
  <si>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</si>
  <si>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</si>
  <si>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</si>
  <si>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</si>
  <si>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</si>
  <si>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</si>
  <si>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</si>
  <si>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</si>
  <si>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</si>
  <si>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</si>
  <si>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</si>
  <si>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</si>
  <si>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</si>
  <si>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</si>
  <si>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</si>
  <si>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</si>
  <si>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</si>
  <si>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</si>
  <si>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</si>
  <si>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</si>
  <si>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</si>
  <si>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</si>
  <si>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</si>
  <si>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</si>
  <si>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</si>
  <si>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</si>
  <si>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</si>
  <si>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</si>
  <si>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</si>
  <si>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</si>
  <si>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</si>
  <si>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</si>
  <si>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</si>
  <si>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</si>
  <si>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</si>
  <si>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</si>
  <si>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</si>
  <si>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</si>
  <si>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</si>
  <si>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</si>
  <si>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</si>
  <si>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</si>
  <si>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</si>
  <si>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</si>
  <si>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</si>
  <si>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</si>
  <si>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</si>
  <si>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</si>
  <si>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</si>
  <si>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</si>
  <si>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</si>
  <si>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</si>
  <si>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</si>
  <si>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</si>
  <si>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</si>
  <si>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</si>
  <si>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</si>
  <si>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</si>
  <si>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</si>
  <si>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</si>
  <si>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</si>
  <si>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</si>
  <si>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</si>
  <si>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</si>
  <si>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</si>
  <si>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</si>
  <si>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</si>
  <si>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</si>
  <si>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</si>
  <si>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</si>
  <si>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</si>
  <si>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</si>
  <si>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</si>
  <si>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</si>
  <si>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</si>
  <si>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</si>
  <si>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</si>
  <si>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</si>
  <si>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</si>
  <si>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</si>
  <si>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</si>
  <si>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</si>
  <si>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</si>
  <si>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</si>
  <si>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</si>
  <si>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</si>
  <si>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</si>
  <si>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</si>
  <si>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</si>
  <si>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</si>
  <si>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</si>
  <si>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</si>
  <si>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</si>
  <si>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</si>
  <si>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</si>
  <si>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</si>
  <si>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</si>
  <si>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</si>
  <si>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</si>
  <si>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</si>
  <si>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</si>
  <si>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</si>
  <si>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</si>
  <si>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</si>
  <si>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</si>
  <si>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</si>
  <si>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</si>
  <si>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</si>
  <si>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</si>
  <si>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</si>
  <si>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</si>
  <si>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</si>
  <si>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</si>
  <si>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</si>
  <si>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</si>
  <si>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</si>
  <si>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</si>
  <si>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</si>
  <si>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</si>
  <si>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</si>
  <si>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</si>
  <si>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</si>
  <si>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</si>
  <si>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</si>
  <si>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</si>
  <si>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</si>
  <si>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</si>
  <si>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</si>
  <si>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</si>
  <si>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</si>
  <si>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</si>
  <si>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</si>
  <si>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</si>
  <si>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</si>
  <si>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</si>
  <si>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</si>
  <si>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</si>
  <si>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</si>
  <si>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</si>
  <si>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</si>
  <si>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</si>
  <si>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</si>
  <si>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</si>
  <si>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</si>
  <si>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</si>
  <si>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</si>
  <si>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</si>
  <si>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</si>
  <si>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</si>
  <si>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</si>
  <si>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</si>
  <si>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</si>
  <si>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</si>
  <si>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</si>
  <si>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</si>
  <si>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</si>
  <si>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</si>
  <si>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</si>
  <si>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</si>
  <si>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</si>
  <si>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</si>
  <si>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</si>
  <si>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</si>
  <si>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</si>
  <si>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</si>
  <si>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</si>
  <si>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</si>
  <si>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</si>
  <si>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</si>
  <si>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</si>
  <si>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</si>
  <si>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</si>
  <si>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</si>
  <si>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</si>
  <si>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</si>
  <si>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</si>
  <si>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</si>
  <si>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</si>
  <si>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</si>
  <si>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</si>
  <si>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</si>
  <si>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</si>
  <si>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</si>
  <si>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</si>
  <si>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</si>
  <si>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</si>
  <si>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</si>
  <si>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</si>
  <si>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</si>
  <si>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</si>
  <si>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</si>
  <si>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</si>
  <si>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</si>
  <si>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</si>
  <si>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</si>
  <si>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</si>
  <si>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</si>
  <si>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</si>
  <si>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</si>
  <si>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</si>
  <si>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</si>
  <si>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</si>
  <si>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</si>
  <si>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</si>
  <si>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</si>
  <si>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</si>
  <si>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</si>
  <si>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</si>
  <si>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</si>
  <si>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</si>
  <si>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</si>
  <si>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</si>
  <si>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</si>
  <si>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</si>
  <si>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</si>
  <si>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</si>
  <si>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</si>
  <si>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</si>
  <si>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</si>
  <si>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</si>
  <si>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</si>
  <si>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</si>
  <si>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</si>
  <si>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</si>
  <si>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</si>
  <si>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</si>
  <si>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</si>
  <si>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</si>
  <si>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</si>
  <si>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</si>
  <si>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</si>
  <si>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</si>
  <si>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</si>
  <si>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</si>
  <si>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</si>
  <si>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</si>
  <si>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</si>
  <si>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</si>
  <si>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</si>
  <si>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</si>
  <si>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</si>
  <si>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</si>
  <si>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</si>
  <si>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</si>
  <si>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</si>
  <si>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</si>
  <si>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</si>
  <si>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</si>
  <si>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</si>
  <si>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</si>
  <si>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</si>
  <si>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</si>
  <si>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</si>
  <si>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</si>
  <si>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</si>
  <si>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</si>
  <si>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</si>
  <si>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</si>
  <si>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</si>
  <si>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</si>
  <si>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</si>
  <si>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</si>
  <si>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</si>
  <si>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</si>
  <si>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</si>
  <si>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</si>
  <si>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</si>
  <si>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</si>
  <si>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</si>
  <si>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</si>
  <si>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</si>
  <si>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</si>
  <si>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</si>
  <si>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</si>
  <si>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</si>
  <si>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</si>
  <si>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</si>
  <si>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</si>
  <si>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</si>
  <si>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</si>
  <si>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</si>
  <si>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</si>
  <si>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</si>
  <si>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</si>
  <si>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</si>
  <si>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</si>
  <si>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</si>
  <si>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</si>
  <si>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</si>
  <si>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</si>
  <si>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</si>
  <si>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</si>
  <si>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</si>
  <si>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</si>
  <si>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</si>
  <si>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</si>
  <si>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</si>
  <si>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</si>
  <si>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</si>
  <si>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</si>
  <si>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</si>
  <si>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</si>
  <si>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</si>
  <si>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</si>
  <si>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</si>
  <si>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</si>
  <si>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</si>
  <si>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</si>
  <si>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</si>
  <si>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</si>
  <si>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</si>
  <si>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</si>
  <si>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</si>
  <si>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</si>
  <si>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</si>
  <si>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</si>
  <si>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</si>
  <si>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</si>
  <si>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</si>
  <si>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</si>
  <si>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</si>
  <si>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</si>
  <si>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</si>
  <si>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</si>
  <si>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</si>
  <si>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</si>
  <si>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</si>
  <si>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</si>
  <si>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</si>
  <si>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</si>
  <si>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</si>
  <si>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</si>
  <si>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</si>
  <si>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</si>
  <si>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</si>
  <si>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</si>
  <si>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</si>
  <si>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</si>
  <si>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</si>
  <si>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</si>
  <si>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</si>
  <si>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</si>
  <si>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</si>
  <si>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</si>
  <si>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</si>
  <si>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</si>
  <si>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</si>
  <si>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</si>
  <si>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</si>
  <si>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</si>
  <si>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</si>
  <si>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</si>
  <si>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</si>
  <si>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</si>
  <si>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</si>
  <si>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</si>
  <si>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</si>
  <si>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</si>
  <si>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</si>
  <si>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</si>
  <si>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</si>
  <si>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</si>
  <si>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</si>
  <si>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</si>
  <si>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</si>
  <si>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</si>
  <si>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Default by loan type</t>
  </si>
  <si>
    <t>Default rate%</t>
  </si>
  <si>
    <t>Employment Status</t>
  </si>
  <si>
    <t>Default%</t>
  </si>
  <si>
    <t>Avg credit scores by status</t>
  </si>
  <si>
    <t>Score</t>
  </si>
  <si>
    <t>logbook</t>
  </si>
  <si>
    <t>LOAN PERFORMANCE DASHBOARD</t>
  </si>
  <si>
    <t xml:space="preserve">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</si>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</sst>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000000"/>
      <name val="Ui-monospace"/>
    </font>
    <font>
      <b/>
      <sz val="17.0"/>
      <color rgb="FF0000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3" fontId="1" numFmtId="0" xfId="0" applyAlignment="1" applyFill="1" applyFont="1">
      <alignment readingOrder="0" vertical="center"/>
    </xf>
    <xf borderId="0" fillId="3" fontId="1" numFmtId="4" xfId="0" applyAlignment="1" applyFont="1" applyNumberFormat="1">
      <alignment readingOrder="0" vertical="center"/>
    </xf>
    <xf borderId="0" fillId="4" fontId="1" numFmtId="0" xfId="0" applyAlignment="1" applyFill="1" applyFont="1">
      <alignment readingOrder="0" vertical="center"/>
    </xf>
    <xf borderId="0" fillId="4" fontId="1" numFmtId="4" xfId="0" applyAlignment="1" applyFont="1" applyNumberFormat="1">
      <alignment readingOrder="0" vertical="center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0" xfId="0" applyFont="1"/>
    <xf borderId="0" fillId="0" fontId="1" numFmtId="10" xfId="0" applyFont="1" applyNumberFormat="1"/>
    <xf borderId="0" fillId="3" fontId="2" numFmtId="0" xfId="0" applyFont="1"/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6.5"/>
    <col customWidth="1" min="9" max="9" width="15.25"/>
    <col customWidth="1" min="10" max="10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>
        <v>56.0</v>
      </c>
      <c r="C2" s="2" t="s">
        <v>14</v>
      </c>
      <c r="D2" s="3">
        <v>138778.0</v>
      </c>
      <c r="E2" s="2" t="s">
        <v>15</v>
      </c>
      <c r="F2" s="2">
        <v>26154.0</v>
      </c>
      <c r="G2" s="2" t="s">
        <v>16</v>
      </c>
      <c r="H2" s="2">
        <v>437.0</v>
      </c>
      <c r="I2" s="2">
        <v>12.0</v>
      </c>
      <c r="J2" s="2" t="s">
        <v>17</v>
      </c>
      <c r="K2" s="2" t="s">
        <v>18</v>
      </c>
      <c r="L2" s="2" t="s">
        <v>19</v>
      </c>
      <c r="M2" s="2" t="s">
        <v>20</v>
      </c>
    </row>
    <row r="3">
      <c r="A3" s="4" t="s">
        <v>21</v>
      </c>
      <c r="B3" s="4">
        <v>46.0</v>
      </c>
      <c r="C3" s="4" t="s">
        <v>14</v>
      </c>
      <c r="D3" s="5">
        <v>72292.0</v>
      </c>
      <c r="E3" s="4" t="s">
        <v>22</v>
      </c>
      <c r="F3" s="4">
        <v>172876.0</v>
      </c>
      <c r="G3" s="4" t="s">
        <v>23</v>
      </c>
      <c r="H3" s="4">
        <v>349.0</v>
      </c>
      <c r="I3" s="4">
        <v>24.0</v>
      </c>
      <c r="J3" s="4" t="s">
        <v>17</v>
      </c>
      <c r="K3" s="4" t="s">
        <v>24</v>
      </c>
      <c r="L3" s="4" t="s">
        <v>19</v>
      </c>
      <c r="M3" s="4" t="s">
        <v>20</v>
      </c>
    </row>
    <row r="4">
      <c r="A4" s="2" t="s">
        <v>25</v>
      </c>
      <c r="B4" s="2">
        <v>32.0</v>
      </c>
      <c r="C4" s="2" t="s">
        <v>14</v>
      </c>
      <c r="D4" s="3">
        <v>33833.0</v>
      </c>
      <c r="E4" s="2" t="s">
        <v>26</v>
      </c>
      <c r="F4" s="2">
        <v>192760.0</v>
      </c>
      <c r="G4" s="2" t="s">
        <v>16</v>
      </c>
      <c r="H4" s="2">
        <v>553.0</v>
      </c>
      <c r="I4" s="2">
        <v>24.0</v>
      </c>
      <c r="J4" s="2" t="s">
        <v>27</v>
      </c>
      <c r="K4" s="2" t="s">
        <v>18</v>
      </c>
      <c r="L4" s="2" t="s">
        <v>28</v>
      </c>
      <c r="M4" s="2" t="s">
        <v>20</v>
      </c>
    </row>
    <row r="5">
      <c r="A5" s="4" t="s">
        <v>29</v>
      </c>
      <c r="B5" s="4">
        <v>25.0</v>
      </c>
      <c r="C5" s="4" t="s">
        <v>14</v>
      </c>
      <c r="D5" s="5">
        <v>145230.0</v>
      </c>
      <c r="E5" s="4" t="s">
        <v>15</v>
      </c>
      <c r="F5" s="4">
        <v>84288.0</v>
      </c>
      <c r="G5" s="4" t="s">
        <v>23</v>
      </c>
      <c r="H5" s="4">
        <v>725.0</v>
      </c>
      <c r="I5" s="4">
        <v>6.0</v>
      </c>
      <c r="J5" s="4" t="s">
        <v>17</v>
      </c>
      <c r="K5" s="4" t="s">
        <v>24</v>
      </c>
      <c r="L5" s="4" t="s">
        <v>19</v>
      </c>
      <c r="M5" s="4" t="s">
        <v>20</v>
      </c>
    </row>
    <row r="6">
      <c r="A6" s="2" t="s">
        <v>30</v>
      </c>
      <c r="B6" s="2">
        <v>38.0</v>
      </c>
      <c r="C6" s="2" t="s">
        <v>31</v>
      </c>
      <c r="D6" s="3">
        <v>30309.0</v>
      </c>
      <c r="E6" s="2" t="s">
        <v>26</v>
      </c>
      <c r="F6" s="2">
        <v>71195.0</v>
      </c>
      <c r="G6" s="2" t="s">
        <v>16</v>
      </c>
      <c r="H6" s="2">
        <v>846.0</v>
      </c>
      <c r="I6" s="2">
        <v>12.0</v>
      </c>
      <c r="J6" s="2" t="s">
        <v>17</v>
      </c>
      <c r="K6" s="2" t="s">
        <v>18</v>
      </c>
      <c r="L6" s="2" t="s">
        <v>28</v>
      </c>
      <c r="M6" s="2" t="s">
        <v>20</v>
      </c>
    </row>
    <row r="7">
      <c r="A7" s="4" t="s">
        <v>32</v>
      </c>
      <c r="B7" s="4">
        <v>56.0</v>
      </c>
      <c r="C7" s="4" t="s">
        <v>14</v>
      </c>
      <c r="D7" s="5">
        <v>16970.0</v>
      </c>
      <c r="E7" s="4" t="s">
        <v>26</v>
      </c>
      <c r="F7" s="4">
        <v>40581.0</v>
      </c>
      <c r="G7" s="4" t="s">
        <v>33</v>
      </c>
      <c r="H7" s="4">
        <v>601.0</v>
      </c>
      <c r="I7" s="4">
        <v>3.0</v>
      </c>
      <c r="J7" s="4" t="s">
        <v>17</v>
      </c>
      <c r="K7" s="4" t="s">
        <v>18</v>
      </c>
      <c r="L7" s="4" t="s">
        <v>34</v>
      </c>
      <c r="M7" s="4" t="s">
        <v>20</v>
      </c>
    </row>
    <row r="8">
      <c r="A8" s="2" t="s">
        <v>35</v>
      </c>
      <c r="B8" s="2">
        <v>36.0</v>
      </c>
      <c r="C8" s="2" t="s">
        <v>31</v>
      </c>
      <c r="D8" s="3">
        <v>82474.0</v>
      </c>
      <c r="E8" s="2" t="s">
        <v>26</v>
      </c>
      <c r="F8" s="2">
        <v>50087.0</v>
      </c>
      <c r="G8" s="2" t="s">
        <v>33</v>
      </c>
      <c r="H8" s="2">
        <v>648.0</v>
      </c>
      <c r="I8" s="2">
        <v>6.0</v>
      </c>
      <c r="J8" s="2" t="s">
        <v>27</v>
      </c>
      <c r="K8" s="2" t="s">
        <v>24</v>
      </c>
      <c r="L8" s="2" t="s">
        <v>19</v>
      </c>
      <c r="M8" s="2" t="s">
        <v>20</v>
      </c>
    </row>
    <row r="9">
      <c r="A9" s="4" t="s">
        <v>36</v>
      </c>
      <c r="B9" s="4">
        <v>40.0</v>
      </c>
      <c r="C9" s="4" t="s">
        <v>31</v>
      </c>
      <c r="D9" s="5">
        <v>56540.0</v>
      </c>
      <c r="E9" s="4" t="s">
        <v>26</v>
      </c>
      <c r="F9" s="4">
        <v>184053.0</v>
      </c>
      <c r="G9" s="4" t="s">
        <v>16</v>
      </c>
      <c r="H9" s="4">
        <v>348.0</v>
      </c>
      <c r="I9" s="4">
        <v>24.0</v>
      </c>
      <c r="J9" s="4" t="s">
        <v>27</v>
      </c>
      <c r="K9" s="4" t="s">
        <v>18</v>
      </c>
      <c r="L9" s="4" t="s">
        <v>28</v>
      </c>
      <c r="M9" s="4" t="s">
        <v>20</v>
      </c>
    </row>
    <row r="10">
      <c r="A10" s="2" t="s">
        <v>37</v>
      </c>
      <c r="B10" s="2">
        <v>28.0</v>
      </c>
      <c r="C10" s="2" t="s">
        <v>31</v>
      </c>
      <c r="D10" s="3">
        <v>28017.0</v>
      </c>
      <c r="E10" s="2" t="s">
        <v>22</v>
      </c>
      <c r="F10" s="2">
        <v>89298.0</v>
      </c>
      <c r="G10" s="2" t="s">
        <v>16</v>
      </c>
      <c r="H10" s="2">
        <v>373.0</v>
      </c>
      <c r="I10" s="2">
        <v>24.0</v>
      </c>
      <c r="J10" s="2" t="s">
        <v>27</v>
      </c>
      <c r="K10" s="2" t="s">
        <v>18</v>
      </c>
      <c r="L10" s="2" t="s">
        <v>34</v>
      </c>
      <c r="M10" s="2" t="s">
        <v>20</v>
      </c>
    </row>
    <row r="11">
      <c r="A11" s="4" t="s">
        <v>38</v>
      </c>
      <c r="B11" s="4">
        <v>28.0</v>
      </c>
      <c r="C11" s="4" t="s">
        <v>14</v>
      </c>
      <c r="D11" s="5">
        <v>85880.0</v>
      </c>
      <c r="E11" s="4" t="s">
        <v>15</v>
      </c>
      <c r="F11" s="4">
        <v>66167.0</v>
      </c>
      <c r="G11" s="4" t="s">
        <v>16</v>
      </c>
      <c r="H11" s="4">
        <v>560.0</v>
      </c>
      <c r="I11" s="4">
        <v>3.0</v>
      </c>
      <c r="J11" s="4" t="s">
        <v>17</v>
      </c>
      <c r="K11" s="4" t="s">
        <v>18</v>
      </c>
      <c r="L11" s="4" t="s">
        <v>19</v>
      </c>
      <c r="M11" s="4" t="s">
        <v>20</v>
      </c>
    </row>
    <row r="12">
      <c r="A12" s="2" t="s">
        <v>39</v>
      </c>
      <c r="B12" s="2">
        <v>41.0</v>
      </c>
      <c r="C12" s="2" t="s">
        <v>31</v>
      </c>
      <c r="D12" s="3">
        <v>115570.0</v>
      </c>
      <c r="E12" s="2" t="s">
        <v>22</v>
      </c>
      <c r="F12" s="2">
        <v>194480.0</v>
      </c>
      <c r="G12" s="2" t="s">
        <v>23</v>
      </c>
      <c r="H12" s="2">
        <v>655.0</v>
      </c>
      <c r="I12" s="2">
        <v>24.0</v>
      </c>
      <c r="J12" s="2" t="s">
        <v>27</v>
      </c>
      <c r="K12" s="2" t="s">
        <v>24</v>
      </c>
      <c r="L12" s="2" t="s">
        <v>19</v>
      </c>
      <c r="M12" s="2" t="s">
        <v>20</v>
      </c>
    </row>
    <row r="13">
      <c r="A13" s="4" t="s">
        <v>40</v>
      </c>
      <c r="B13" s="4">
        <v>53.0</v>
      </c>
      <c r="C13" s="4" t="s">
        <v>31</v>
      </c>
      <c r="D13" s="5">
        <v>18702.0</v>
      </c>
      <c r="E13" s="4" t="s">
        <v>22</v>
      </c>
      <c r="F13" s="4">
        <v>59499.0</v>
      </c>
      <c r="G13" s="4" t="s">
        <v>23</v>
      </c>
      <c r="H13" s="4">
        <v>559.0</v>
      </c>
      <c r="I13" s="4">
        <v>12.0</v>
      </c>
      <c r="J13" s="4" t="s">
        <v>17</v>
      </c>
      <c r="K13" s="4" t="s">
        <v>18</v>
      </c>
      <c r="L13" s="4" t="s">
        <v>34</v>
      </c>
      <c r="M13" s="4" t="s">
        <v>20</v>
      </c>
    </row>
    <row r="14">
      <c r="A14" s="2" t="s">
        <v>41</v>
      </c>
      <c r="B14" s="2">
        <v>57.0</v>
      </c>
      <c r="C14" s="2" t="s">
        <v>14</v>
      </c>
      <c r="D14" s="3">
        <v>141456.0</v>
      </c>
      <c r="E14" s="2" t="s">
        <v>15</v>
      </c>
      <c r="F14" s="2">
        <v>145816.0</v>
      </c>
      <c r="G14" s="2" t="s">
        <v>23</v>
      </c>
      <c r="H14" s="2">
        <v>594.0</v>
      </c>
      <c r="I14" s="2">
        <v>6.0</v>
      </c>
      <c r="J14" s="2" t="s">
        <v>42</v>
      </c>
      <c r="K14" s="2" t="s">
        <v>24</v>
      </c>
      <c r="L14" s="2" t="s">
        <v>19</v>
      </c>
      <c r="M14" s="2" t="s">
        <v>20</v>
      </c>
    </row>
    <row r="15">
      <c r="A15" s="4" t="s">
        <v>43</v>
      </c>
      <c r="B15" s="4">
        <v>41.0</v>
      </c>
      <c r="C15" s="4" t="s">
        <v>31</v>
      </c>
      <c r="D15" s="5">
        <v>10404.0</v>
      </c>
      <c r="E15" s="4" t="s">
        <v>15</v>
      </c>
      <c r="F15" s="4">
        <v>189631.0</v>
      </c>
      <c r="G15" s="4" t="s">
        <v>16</v>
      </c>
      <c r="H15" s="4">
        <v>612.0</v>
      </c>
      <c r="I15" s="4">
        <v>24.0</v>
      </c>
      <c r="J15" s="4" t="s">
        <v>17</v>
      </c>
      <c r="K15" s="4" t="s">
        <v>18</v>
      </c>
      <c r="L15" s="4" t="s">
        <v>34</v>
      </c>
      <c r="M15" s="4" t="s">
        <v>20</v>
      </c>
    </row>
    <row r="16">
      <c r="A16" s="2" t="s">
        <v>44</v>
      </c>
      <c r="B16" s="2">
        <v>20.0</v>
      </c>
      <c r="C16" s="2" t="s">
        <v>31</v>
      </c>
      <c r="D16" s="3">
        <v>22763.0</v>
      </c>
      <c r="E16" s="2" t="s">
        <v>22</v>
      </c>
      <c r="F16" s="2">
        <v>116347.0</v>
      </c>
      <c r="G16" s="2" t="s">
        <v>16</v>
      </c>
      <c r="H16" s="2">
        <v>481.0</v>
      </c>
      <c r="I16" s="2">
        <v>24.0</v>
      </c>
      <c r="J16" s="2" t="s">
        <v>45</v>
      </c>
      <c r="K16" s="2" t="s">
        <v>18</v>
      </c>
      <c r="L16" s="2" t="s">
        <v>34</v>
      </c>
      <c r="M16" s="2" t="s">
        <v>20</v>
      </c>
    </row>
    <row r="17">
      <c r="A17" s="4" t="s">
        <v>46</v>
      </c>
      <c r="B17" s="4">
        <v>39.0</v>
      </c>
      <c r="C17" s="4" t="s">
        <v>14</v>
      </c>
      <c r="D17" s="5">
        <v>108142.0</v>
      </c>
      <c r="E17" s="4" t="s">
        <v>15</v>
      </c>
      <c r="F17" s="4">
        <v>68787.0</v>
      </c>
      <c r="G17" s="4" t="s">
        <v>23</v>
      </c>
      <c r="H17" s="4">
        <v>663.0</v>
      </c>
      <c r="I17" s="4">
        <v>3.0</v>
      </c>
      <c r="J17" s="4" t="s">
        <v>27</v>
      </c>
      <c r="K17" s="4" t="s">
        <v>24</v>
      </c>
      <c r="L17" s="4" t="s">
        <v>19</v>
      </c>
      <c r="M17" s="4" t="s">
        <v>20</v>
      </c>
    </row>
    <row r="18">
      <c r="A18" s="2" t="s">
        <v>47</v>
      </c>
      <c r="B18" s="2">
        <v>19.0</v>
      </c>
      <c r="C18" s="2" t="s">
        <v>31</v>
      </c>
      <c r="D18" s="3">
        <v>90642.0</v>
      </c>
      <c r="E18" s="2" t="s">
        <v>26</v>
      </c>
      <c r="F18" s="2">
        <v>55488.0</v>
      </c>
      <c r="G18" s="2" t="s">
        <v>16</v>
      </c>
      <c r="H18" s="2">
        <v>487.0</v>
      </c>
      <c r="I18" s="2">
        <v>12.0</v>
      </c>
      <c r="J18" s="2" t="s">
        <v>27</v>
      </c>
      <c r="K18" s="2" t="s">
        <v>18</v>
      </c>
      <c r="L18" s="2" t="s">
        <v>19</v>
      </c>
      <c r="M18" s="2" t="s">
        <v>20</v>
      </c>
    </row>
    <row r="19">
      <c r="A19" s="4" t="s">
        <v>48</v>
      </c>
      <c r="B19" s="4">
        <v>41.0</v>
      </c>
      <c r="C19" s="4" t="s">
        <v>31</v>
      </c>
      <c r="D19" s="5">
        <v>60612.0</v>
      </c>
      <c r="E19" s="4" t="s">
        <v>15</v>
      </c>
      <c r="F19" s="4">
        <v>94441.0</v>
      </c>
      <c r="G19" s="4" t="s">
        <v>33</v>
      </c>
      <c r="H19" s="4">
        <v>842.0</v>
      </c>
      <c r="I19" s="4">
        <v>24.0</v>
      </c>
      <c r="J19" s="4" t="s">
        <v>45</v>
      </c>
      <c r="K19" s="4" t="s">
        <v>24</v>
      </c>
      <c r="L19" s="4" t="s">
        <v>28</v>
      </c>
      <c r="M19" s="4" t="s">
        <v>20</v>
      </c>
    </row>
    <row r="20">
      <c r="A20" s="2" t="s">
        <v>49</v>
      </c>
      <c r="B20" s="2">
        <v>47.0</v>
      </c>
      <c r="C20" s="2" t="s">
        <v>31</v>
      </c>
      <c r="D20" s="3">
        <v>33574.0</v>
      </c>
      <c r="E20" s="2" t="s">
        <v>15</v>
      </c>
      <c r="F20" s="2">
        <v>42431.0</v>
      </c>
      <c r="G20" s="2" t="s">
        <v>16</v>
      </c>
      <c r="H20" s="2">
        <v>847.0</v>
      </c>
      <c r="I20" s="2">
        <v>3.0</v>
      </c>
      <c r="J20" s="2" t="s">
        <v>17</v>
      </c>
      <c r="K20" s="2" t="s">
        <v>24</v>
      </c>
      <c r="L20" s="2" t="s">
        <v>28</v>
      </c>
      <c r="M20" s="2" t="s">
        <v>20</v>
      </c>
    </row>
    <row r="21">
      <c r="A21" s="4" t="s">
        <v>50</v>
      </c>
      <c r="B21" s="4">
        <v>55.0</v>
      </c>
      <c r="C21" s="4" t="s">
        <v>14</v>
      </c>
      <c r="D21" s="5">
        <v>33524.0</v>
      </c>
      <c r="E21" s="4" t="s">
        <v>26</v>
      </c>
      <c r="F21" s="4">
        <v>81681.0</v>
      </c>
      <c r="G21" s="4" t="s">
        <v>23</v>
      </c>
      <c r="H21" s="4">
        <v>707.0</v>
      </c>
      <c r="I21" s="4">
        <v>24.0</v>
      </c>
      <c r="J21" s="4" t="s">
        <v>42</v>
      </c>
      <c r="K21" s="4" t="s">
        <v>24</v>
      </c>
      <c r="L21" s="4" t="s">
        <v>28</v>
      </c>
      <c r="M21" s="4" t="s">
        <v>20</v>
      </c>
    </row>
    <row r="22">
      <c r="A22" s="2" t="s">
        <v>51</v>
      </c>
      <c r="B22" s="2">
        <v>19.0</v>
      </c>
      <c r="C22" s="2" t="s">
        <v>14</v>
      </c>
      <c r="D22" s="3">
        <v>20916.0</v>
      </c>
      <c r="E22" s="2" t="s">
        <v>26</v>
      </c>
      <c r="F22" s="2">
        <v>142720.0</v>
      </c>
      <c r="G22" s="2" t="s">
        <v>16</v>
      </c>
      <c r="H22" s="2">
        <v>713.0</v>
      </c>
      <c r="I22" s="2">
        <v>3.0</v>
      </c>
      <c r="J22" s="2" t="s">
        <v>45</v>
      </c>
      <c r="K22" s="2" t="s">
        <v>18</v>
      </c>
      <c r="L22" s="2" t="s">
        <v>34</v>
      </c>
      <c r="M22" s="2" t="s">
        <v>20</v>
      </c>
    </row>
    <row r="23">
      <c r="A23" s="4" t="s">
        <v>52</v>
      </c>
      <c r="B23" s="4">
        <v>38.0</v>
      </c>
      <c r="C23" s="4" t="s">
        <v>14</v>
      </c>
      <c r="D23" s="5">
        <v>14809.0</v>
      </c>
      <c r="E23" s="4" t="s">
        <v>15</v>
      </c>
      <c r="F23" s="4">
        <v>69153.0</v>
      </c>
      <c r="G23" s="4" t="s">
        <v>16</v>
      </c>
      <c r="H23" s="4">
        <v>641.0</v>
      </c>
      <c r="I23" s="4">
        <v>3.0</v>
      </c>
      <c r="J23" s="4" t="s">
        <v>45</v>
      </c>
      <c r="K23" s="4" t="s">
        <v>18</v>
      </c>
      <c r="L23" s="4" t="s">
        <v>34</v>
      </c>
      <c r="M23" s="4" t="s">
        <v>20</v>
      </c>
    </row>
    <row r="24">
      <c r="A24" s="2" t="s">
        <v>53</v>
      </c>
      <c r="B24" s="2">
        <v>50.0</v>
      </c>
      <c r="C24" s="2" t="s">
        <v>31</v>
      </c>
      <c r="D24" s="3">
        <v>131288.0</v>
      </c>
      <c r="E24" s="2" t="s">
        <v>26</v>
      </c>
      <c r="F24" s="2">
        <v>26368.0</v>
      </c>
      <c r="G24" s="2" t="s">
        <v>33</v>
      </c>
      <c r="H24" s="2">
        <v>519.0</v>
      </c>
      <c r="I24" s="2">
        <v>12.0</v>
      </c>
      <c r="J24" s="2" t="s">
        <v>17</v>
      </c>
      <c r="K24" s="2" t="s">
        <v>18</v>
      </c>
      <c r="L24" s="2" t="s">
        <v>19</v>
      </c>
      <c r="M24" s="2" t="s">
        <v>20</v>
      </c>
    </row>
    <row r="25">
      <c r="A25" s="4" t="s">
        <v>54</v>
      </c>
      <c r="B25" s="4">
        <v>29.0</v>
      </c>
      <c r="C25" s="4" t="s">
        <v>31</v>
      </c>
      <c r="D25" s="5">
        <v>48765.0</v>
      </c>
      <c r="E25" s="4" t="s">
        <v>26</v>
      </c>
      <c r="F25" s="4">
        <v>178496.0</v>
      </c>
      <c r="G25" s="4" t="s">
        <v>23</v>
      </c>
      <c r="H25" s="4">
        <v>462.0</v>
      </c>
      <c r="I25" s="4">
        <v>24.0</v>
      </c>
      <c r="J25" s="4" t="s">
        <v>27</v>
      </c>
      <c r="K25" s="4" t="s">
        <v>18</v>
      </c>
      <c r="L25" s="4" t="s">
        <v>28</v>
      </c>
      <c r="M25" s="4" t="s">
        <v>20</v>
      </c>
    </row>
    <row r="26">
      <c r="A26" s="2" t="s">
        <v>55</v>
      </c>
      <c r="B26" s="2">
        <v>39.0</v>
      </c>
      <c r="C26" s="2" t="s">
        <v>14</v>
      </c>
      <c r="D26" s="3">
        <v>55106.0</v>
      </c>
      <c r="E26" s="2" t="s">
        <v>26</v>
      </c>
      <c r="F26" s="2">
        <v>132360.0</v>
      </c>
      <c r="G26" s="2" t="s">
        <v>33</v>
      </c>
      <c r="H26" s="2">
        <v>519.0</v>
      </c>
      <c r="I26" s="2">
        <v>12.0</v>
      </c>
      <c r="J26" s="2" t="s">
        <v>17</v>
      </c>
      <c r="K26" s="2" t="s">
        <v>18</v>
      </c>
      <c r="L26" s="2" t="s">
        <v>28</v>
      </c>
      <c r="M26" s="2" t="s">
        <v>20</v>
      </c>
    </row>
    <row r="27">
      <c r="A27" s="4" t="s">
        <v>56</v>
      </c>
      <c r="B27" s="4">
        <v>42.0</v>
      </c>
      <c r="C27" s="4" t="s">
        <v>31</v>
      </c>
      <c r="D27" s="5">
        <v>63932.0</v>
      </c>
      <c r="E27" s="4" t="s">
        <v>22</v>
      </c>
      <c r="F27" s="4">
        <v>196076.0</v>
      </c>
      <c r="G27" s="4" t="s">
        <v>16</v>
      </c>
      <c r="H27" s="4">
        <v>569.0</v>
      </c>
      <c r="I27" s="4">
        <v>3.0</v>
      </c>
      <c r="J27" s="4" t="s">
        <v>45</v>
      </c>
      <c r="K27" s="4" t="s">
        <v>18</v>
      </c>
      <c r="L27" s="4" t="s">
        <v>28</v>
      </c>
      <c r="M27" s="4" t="s">
        <v>20</v>
      </c>
    </row>
    <row r="28">
      <c r="A28" s="2" t="s">
        <v>57</v>
      </c>
      <c r="B28" s="2">
        <v>44.0</v>
      </c>
      <c r="C28" s="2" t="s">
        <v>31</v>
      </c>
      <c r="D28" s="3">
        <v>67091.0</v>
      </c>
      <c r="E28" s="2" t="s">
        <v>22</v>
      </c>
      <c r="F28" s="2">
        <v>132755.0</v>
      </c>
      <c r="G28" s="2" t="s">
        <v>16</v>
      </c>
      <c r="H28" s="2">
        <v>699.0</v>
      </c>
      <c r="I28" s="2">
        <v>6.0</v>
      </c>
      <c r="J28" s="2" t="s">
        <v>45</v>
      </c>
      <c r="K28" s="2" t="s">
        <v>24</v>
      </c>
      <c r="L28" s="2" t="s">
        <v>28</v>
      </c>
      <c r="M28" s="2" t="s">
        <v>20</v>
      </c>
    </row>
    <row r="29">
      <c r="A29" s="4" t="s">
        <v>58</v>
      </c>
      <c r="B29" s="4">
        <v>59.0</v>
      </c>
      <c r="C29" s="4" t="s">
        <v>14</v>
      </c>
      <c r="D29" s="5">
        <v>31949.0</v>
      </c>
      <c r="E29" s="4" t="s">
        <v>22</v>
      </c>
      <c r="F29" s="4">
        <v>76985.0</v>
      </c>
      <c r="G29" s="4" t="s">
        <v>33</v>
      </c>
      <c r="H29" s="4">
        <v>481.0</v>
      </c>
      <c r="I29" s="4">
        <v>24.0</v>
      </c>
      <c r="J29" s="4" t="s">
        <v>27</v>
      </c>
      <c r="K29" s="4" t="s">
        <v>24</v>
      </c>
      <c r="L29" s="4" t="s">
        <v>28</v>
      </c>
      <c r="M29" s="4" t="s">
        <v>20</v>
      </c>
    </row>
    <row r="30">
      <c r="A30" s="2" t="s">
        <v>59</v>
      </c>
      <c r="B30" s="2">
        <v>45.0</v>
      </c>
      <c r="C30" s="2" t="s">
        <v>14</v>
      </c>
      <c r="D30" s="3">
        <v>47744.0</v>
      </c>
      <c r="E30" s="2" t="s">
        <v>22</v>
      </c>
      <c r="F30" s="2">
        <v>70069.0</v>
      </c>
      <c r="G30" s="2" t="s">
        <v>23</v>
      </c>
      <c r="H30" s="2">
        <v>504.0</v>
      </c>
      <c r="I30" s="2">
        <v>6.0</v>
      </c>
      <c r="J30" s="2" t="s">
        <v>27</v>
      </c>
      <c r="K30" s="2" t="s">
        <v>24</v>
      </c>
      <c r="L30" s="2" t="s">
        <v>28</v>
      </c>
      <c r="M30" s="2" t="s">
        <v>20</v>
      </c>
    </row>
    <row r="31">
      <c r="A31" s="4" t="s">
        <v>60</v>
      </c>
      <c r="B31" s="4">
        <v>33.0</v>
      </c>
      <c r="C31" s="4" t="s">
        <v>31</v>
      </c>
      <c r="D31" s="5">
        <v>118319.0</v>
      </c>
      <c r="E31" s="4" t="s">
        <v>15</v>
      </c>
      <c r="F31" s="4">
        <v>72326.0</v>
      </c>
      <c r="G31" s="4" t="s">
        <v>16</v>
      </c>
      <c r="H31" s="4">
        <v>527.0</v>
      </c>
      <c r="I31" s="4">
        <v>24.0</v>
      </c>
      <c r="J31" s="4" t="s">
        <v>27</v>
      </c>
      <c r="K31" s="4" t="s">
        <v>18</v>
      </c>
      <c r="L31" s="4" t="s">
        <v>19</v>
      </c>
      <c r="M31" s="4" t="s">
        <v>20</v>
      </c>
    </row>
    <row r="32">
      <c r="A32" s="2" t="s">
        <v>61</v>
      </c>
      <c r="B32" s="2">
        <v>32.0</v>
      </c>
      <c r="C32" s="2" t="s">
        <v>31</v>
      </c>
      <c r="D32" s="3">
        <v>102193.0</v>
      </c>
      <c r="E32" s="2" t="s">
        <v>15</v>
      </c>
      <c r="F32" s="2">
        <v>128737.0</v>
      </c>
      <c r="G32" s="2" t="s">
        <v>16</v>
      </c>
      <c r="H32" s="2">
        <v>549.0</v>
      </c>
      <c r="I32" s="2">
        <v>12.0</v>
      </c>
      <c r="J32" s="2" t="s">
        <v>17</v>
      </c>
      <c r="K32" s="2" t="s">
        <v>18</v>
      </c>
      <c r="L32" s="2" t="s">
        <v>19</v>
      </c>
      <c r="M32" s="2" t="s">
        <v>20</v>
      </c>
    </row>
    <row r="33">
      <c r="A33" s="4" t="s">
        <v>62</v>
      </c>
      <c r="B33" s="4">
        <v>20.0</v>
      </c>
      <c r="C33" s="4" t="s">
        <v>31</v>
      </c>
      <c r="D33" s="5">
        <v>46187.0</v>
      </c>
      <c r="E33" s="4" t="s">
        <v>26</v>
      </c>
      <c r="F33" s="4">
        <v>174470.0</v>
      </c>
      <c r="G33" s="4" t="s">
        <v>16</v>
      </c>
      <c r="H33" s="4">
        <v>740.0</v>
      </c>
      <c r="I33" s="4">
        <v>12.0</v>
      </c>
      <c r="J33" s="4" t="s">
        <v>27</v>
      </c>
      <c r="K33" s="4" t="s">
        <v>18</v>
      </c>
      <c r="L33" s="4" t="s">
        <v>28</v>
      </c>
      <c r="M33" s="4" t="s">
        <v>20</v>
      </c>
    </row>
    <row r="34">
      <c r="A34" s="2" t="s">
        <v>63</v>
      </c>
      <c r="B34" s="2">
        <v>54.0</v>
      </c>
      <c r="C34" s="2" t="s">
        <v>14</v>
      </c>
      <c r="D34" s="3">
        <v>148311.0</v>
      </c>
      <c r="E34" s="2" t="s">
        <v>22</v>
      </c>
      <c r="F34" s="2">
        <v>70861.0</v>
      </c>
      <c r="G34" s="2" t="s">
        <v>33</v>
      </c>
      <c r="H34" s="2">
        <v>832.0</v>
      </c>
      <c r="I34" s="2">
        <v>12.0</v>
      </c>
      <c r="J34" s="2" t="s">
        <v>45</v>
      </c>
      <c r="K34" s="2" t="s">
        <v>24</v>
      </c>
      <c r="L34" s="2" t="s">
        <v>19</v>
      </c>
      <c r="M34" s="2" t="s">
        <v>20</v>
      </c>
    </row>
    <row r="35">
      <c r="A35" s="4" t="s">
        <v>64</v>
      </c>
      <c r="B35" s="4">
        <v>24.0</v>
      </c>
      <c r="C35" s="4" t="s">
        <v>14</v>
      </c>
      <c r="D35" s="5">
        <v>134454.0</v>
      </c>
      <c r="E35" s="4" t="s">
        <v>26</v>
      </c>
      <c r="F35" s="4">
        <v>95897.0</v>
      </c>
      <c r="G35" s="4" t="s">
        <v>16</v>
      </c>
      <c r="H35" s="4">
        <v>495.0</v>
      </c>
      <c r="I35" s="4">
        <v>12.0</v>
      </c>
      <c r="J35" s="4" t="s">
        <v>45</v>
      </c>
      <c r="K35" s="4" t="s">
        <v>18</v>
      </c>
      <c r="L35" s="4" t="s">
        <v>19</v>
      </c>
      <c r="M35" s="4" t="s">
        <v>20</v>
      </c>
    </row>
    <row r="36">
      <c r="A36" s="2" t="s">
        <v>65</v>
      </c>
      <c r="B36" s="2">
        <v>38.0</v>
      </c>
      <c r="C36" s="2" t="s">
        <v>14</v>
      </c>
      <c r="D36" s="3">
        <v>24489.0</v>
      </c>
      <c r="E36" s="2" t="s">
        <v>15</v>
      </c>
      <c r="F36" s="2">
        <v>147118.0</v>
      </c>
      <c r="G36" s="2" t="s">
        <v>16</v>
      </c>
      <c r="H36" s="2">
        <v>818.0</v>
      </c>
      <c r="I36" s="2">
        <v>12.0</v>
      </c>
      <c r="J36" s="2" t="s">
        <v>42</v>
      </c>
      <c r="K36" s="2" t="s">
        <v>18</v>
      </c>
      <c r="L36" s="2" t="s">
        <v>34</v>
      </c>
      <c r="M36" s="2" t="s">
        <v>20</v>
      </c>
    </row>
    <row r="37">
      <c r="A37" s="4" t="s">
        <v>66</v>
      </c>
      <c r="B37" s="4">
        <v>26.0</v>
      </c>
      <c r="C37" s="4" t="s">
        <v>14</v>
      </c>
      <c r="D37" s="5">
        <v>71877.0</v>
      </c>
      <c r="E37" s="4" t="s">
        <v>15</v>
      </c>
      <c r="F37" s="4">
        <v>88577.0</v>
      </c>
      <c r="G37" s="4" t="s">
        <v>16</v>
      </c>
      <c r="H37" s="4">
        <v>369.0</v>
      </c>
      <c r="I37" s="4">
        <v>6.0</v>
      </c>
      <c r="J37" s="4" t="s">
        <v>17</v>
      </c>
      <c r="K37" s="4" t="s">
        <v>18</v>
      </c>
      <c r="L37" s="4" t="s">
        <v>19</v>
      </c>
      <c r="M37" s="4" t="s">
        <v>20</v>
      </c>
    </row>
    <row r="38">
      <c r="A38" s="2" t="s">
        <v>67</v>
      </c>
      <c r="B38" s="2">
        <v>56.0</v>
      </c>
      <c r="C38" s="2" t="s">
        <v>31</v>
      </c>
      <c r="D38" s="3">
        <v>59922.0</v>
      </c>
      <c r="E38" s="2" t="s">
        <v>26</v>
      </c>
      <c r="F38" s="2">
        <v>29078.0</v>
      </c>
      <c r="G38" s="2" t="s">
        <v>16</v>
      </c>
      <c r="H38" s="2">
        <v>698.0</v>
      </c>
      <c r="I38" s="2">
        <v>12.0</v>
      </c>
      <c r="J38" s="2" t="s">
        <v>42</v>
      </c>
      <c r="K38" s="2" t="s">
        <v>18</v>
      </c>
      <c r="L38" s="2" t="s">
        <v>28</v>
      </c>
      <c r="M38" s="2" t="s">
        <v>20</v>
      </c>
    </row>
    <row r="39">
      <c r="A39" s="4" t="s">
        <v>68</v>
      </c>
      <c r="B39" s="4">
        <v>35.0</v>
      </c>
      <c r="C39" s="4" t="s">
        <v>14</v>
      </c>
      <c r="D39" s="5">
        <v>104074.0</v>
      </c>
      <c r="E39" s="4" t="s">
        <v>15</v>
      </c>
      <c r="F39" s="4">
        <v>176075.0</v>
      </c>
      <c r="G39" s="4" t="s">
        <v>16</v>
      </c>
      <c r="H39" s="4">
        <v>502.0</v>
      </c>
      <c r="I39" s="4">
        <v>3.0</v>
      </c>
      <c r="J39" s="4" t="s">
        <v>45</v>
      </c>
      <c r="K39" s="4" t="s">
        <v>18</v>
      </c>
      <c r="L39" s="4" t="s">
        <v>19</v>
      </c>
      <c r="M39" s="4" t="s">
        <v>20</v>
      </c>
    </row>
    <row r="40">
      <c r="A40" s="2" t="s">
        <v>69</v>
      </c>
      <c r="B40" s="2">
        <v>21.0</v>
      </c>
      <c r="C40" s="2" t="s">
        <v>14</v>
      </c>
      <c r="D40" s="3">
        <v>47131.0</v>
      </c>
      <c r="E40" s="2" t="s">
        <v>22</v>
      </c>
      <c r="F40" s="2">
        <v>82768.0</v>
      </c>
      <c r="G40" s="2" t="s">
        <v>23</v>
      </c>
      <c r="H40" s="2">
        <v>447.0</v>
      </c>
      <c r="I40" s="2">
        <v>3.0</v>
      </c>
      <c r="J40" s="2" t="s">
        <v>42</v>
      </c>
      <c r="K40" s="2" t="s">
        <v>24</v>
      </c>
      <c r="L40" s="2" t="s">
        <v>28</v>
      </c>
      <c r="M40" s="2" t="s">
        <v>20</v>
      </c>
    </row>
    <row r="41">
      <c r="A41" s="4" t="s">
        <v>70</v>
      </c>
      <c r="B41" s="4">
        <v>42.0</v>
      </c>
      <c r="C41" s="4" t="s">
        <v>14</v>
      </c>
      <c r="D41" s="5">
        <v>125765.0</v>
      </c>
      <c r="E41" s="4" t="s">
        <v>26</v>
      </c>
      <c r="F41" s="4">
        <v>71047.0</v>
      </c>
      <c r="G41" s="4" t="s">
        <v>16</v>
      </c>
      <c r="H41" s="4">
        <v>771.0</v>
      </c>
      <c r="I41" s="4">
        <v>6.0</v>
      </c>
      <c r="J41" s="4" t="s">
        <v>45</v>
      </c>
      <c r="K41" s="4" t="s">
        <v>18</v>
      </c>
      <c r="L41" s="4" t="s">
        <v>19</v>
      </c>
      <c r="M41" s="4" t="s">
        <v>20</v>
      </c>
    </row>
    <row r="42">
      <c r="A42" s="2" t="s">
        <v>71</v>
      </c>
      <c r="B42" s="2">
        <v>31.0</v>
      </c>
      <c r="C42" s="2" t="s">
        <v>14</v>
      </c>
      <c r="D42" s="3">
        <v>83963.0</v>
      </c>
      <c r="E42" s="2" t="s">
        <v>22</v>
      </c>
      <c r="F42" s="2">
        <v>91626.0</v>
      </c>
      <c r="G42" s="2" t="s">
        <v>33</v>
      </c>
      <c r="H42" s="2">
        <v>498.0</v>
      </c>
      <c r="I42" s="2">
        <v>24.0</v>
      </c>
      <c r="J42" s="2" t="s">
        <v>42</v>
      </c>
      <c r="K42" s="2" t="s">
        <v>24</v>
      </c>
      <c r="L42" s="2" t="s">
        <v>19</v>
      </c>
      <c r="M42" s="2" t="s">
        <v>20</v>
      </c>
    </row>
    <row r="43">
      <c r="A43" s="4" t="s">
        <v>72</v>
      </c>
      <c r="B43" s="4">
        <v>26.0</v>
      </c>
      <c r="C43" s="4" t="s">
        <v>14</v>
      </c>
      <c r="D43" s="5">
        <v>116884.0</v>
      </c>
      <c r="E43" s="4" t="s">
        <v>22</v>
      </c>
      <c r="F43" s="4">
        <v>77660.0</v>
      </c>
      <c r="G43" s="4" t="s">
        <v>16</v>
      </c>
      <c r="H43" s="4">
        <v>725.0</v>
      </c>
      <c r="I43" s="4">
        <v>3.0</v>
      </c>
      <c r="J43" s="4" t="s">
        <v>27</v>
      </c>
      <c r="K43" s="4" t="s">
        <v>24</v>
      </c>
      <c r="L43" s="4" t="s">
        <v>19</v>
      </c>
      <c r="M43" s="4" t="s">
        <v>20</v>
      </c>
    </row>
    <row r="44">
      <c r="A44" s="2" t="s">
        <v>73</v>
      </c>
      <c r="B44" s="2">
        <v>43.0</v>
      </c>
      <c r="C44" s="2" t="s">
        <v>31</v>
      </c>
      <c r="D44" s="3">
        <v>135917.0</v>
      </c>
      <c r="E44" s="2" t="s">
        <v>26</v>
      </c>
      <c r="F44" s="2">
        <v>152997.0</v>
      </c>
      <c r="G44" s="2" t="s">
        <v>23</v>
      </c>
      <c r="H44" s="2">
        <v>791.0</v>
      </c>
      <c r="I44" s="2">
        <v>24.0</v>
      </c>
      <c r="J44" s="2" t="s">
        <v>42</v>
      </c>
      <c r="K44" s="2" t="s">
        <v>24</v>
      </c>
      <c r="L44" s="2" t="s">
        <v>19</v>
      </c>
      <c r="M44" s="2" t="s">
        <v>20</v>
      </c>
    </row>
    <row r="45">
      <c r="A45" s="4" t="s">
        <v>74</v>
      </c>
      <c r="B45" s="4">
        <v>19.0</v>
      </c>
      <c r="C45" s="4" t="s">
        <v>31</v>
      </c>
      <c r="D45" s="5">
        <v>34285.0</v>
      </c>
      <c r="E45" s="4" t="s">
        <v>22</v>
      </c>
      <c r="F45" s="4">
        <v>137832.0</v>
      </c>
      <c r="G45" s="4" t="s">
        <v>33</v>
      </c>
      <c r="H45" s="4">
        <v>441.0</v>
      </c>
      <c r="I45" s="4">
        <v>6.0</v>
      </c>
      <c r="J45" s="4" t="s">
        <v>27</v>
      </c>
      <c r="K45" s="4" t="s">
        <v>24</v>
      </c>
      <c r="L45" s="4" t="s">
        <v>28</v>
      </c>
      <c r="M45" s="4" t="s">
        <v>20</v>
      </c>
    </row>
    <row r="46">
      <c r="A46" s="2" t="s">
        <v>75</v>
      </c>
      <c r="B46" s="2">
        <v>37.0</v>
      </c>
      <c r="C46" s="2" t="s">
        <v>14</v>
      </c>
      <c r="D46" s="3">
        <v>47626.0</v>
      </c>
      <c r="E46" s="2" t="s">
        <v>15</v>
      </c>
      <c r="F46" s="2">
        <v>150406.0</v>
      </c>
      <c r="G46" s="2" t="s">
        <v>23</v>
      </c>
      <c r="H46" s="2">
        <v>612.0</v>
      </c>
      <c r="I46" s="2">
        <v>24.0</v>
      </c>
      <c r="J46" s="2" t="s">
        <v>27</v>
      </c>
      <c r="K46" s="2" t="s">
        <v>24</v>
      </c>
      <c r="L46" s="2" t="s">
        <v>28</v>
      </c>
      <c r="M46" s="2" t="s">
        <v>20</v>
      </c>
    </row>
    <row r="47">
      <c r="A47" s="4" t="s">
        <v>76</v>
      </c>
      <c r="B47" s="4">
        <v>45.0</v>
      </c>
      <c r="C47" s="4" t="s">
        <v>31</v>
      </c>
      <c r="D47" s="5">
        <v>29198.0</v>
      </c>
      <c r="E47" s="4" t="s">
        <v>22</v>
      </c>
      <c r="F47" s="4">
        <v>145150.0</v>
      </c>
      <c r="G47" s="4" t="s">
        <v>23</v>
      </c>
      <c r="H47" s="4">
        <v>464.0</v>
      </c>
      <c r="I47" s="4">
        <v>24.0</v>
      </c>
      <c r="J47" s="4" t="s">
        <v>17</v>
      </c>
      <c r="K47" s="4" t="s">
        <v>18</v>
      </c>
      <c r="L47" s="4" t="s">
        <v>34</v>
      </c>
      <c r="M47" s="4" t="s">
        <v>20</v>
      </c>
    </row>
    <row r="48">
      <c r="A48" s="2" t="s">
        <v>77</v>
      </c>
      <c r="B48" s="2">
        <v>24.0</v>
      </c>
      <c r="C48" s="2" t="s">
        <v>14</v>
      </c>
      <c r="D48" s="3">
        <v>25254.0</v>
      </c>
      <c r="E48" s="2" t="s">
        <v>26</v>
      </c>
      <c r="F48" s="2">
        <v>177087.0</v>
      </c>
      <c r="G48" s="2" t="s">
        <v>16</v>
      </c>
      <c r="H48" s="2">
        <v>613.0</v>
      </c>
      <c r="I48" s="2">
        <v>24.0</v>
      </c>
      <c r="J48" s="2" t="s">
        <v>27</v>
      </c>
      <c r="K48" s="2" t="s">
        <v>18</v>
      </c>
      <c r="L48" s="2" t="s">
        <v>34</v>
      </c>
      <c r="M48" s="2" t="s">
        <v>20</v>
      </c>
    </row>
    <row r="49">
      <c r="A49" s="4" t="s">
        <v>78</v>
      </c>
      <c r="B49" s="4">
        <v>25.0</v>
      </c>
      <c r="C49" s="4" t="s">
        <v>14</v>
      </c>
      <c r="D49" s="5">
        <v>54238.0</v>
      </c>
      <c r="E49" s="4" t="s">
        <v>22</v>
      </c>
      <c r="F49" s="4">
        <v>53320.0</v>
      </c>
      <c r="G49" s="4" t="s">
        <v>16</v>
      </c>
      <c r="H49" s="4">
        <v>320.0</v>
      </c>
      <c r="I49" s="4">
        <v>24.0</v>
      </c>
      <c r="J49" s="4" t="s">
        <v>27</v>
      </c>
      <c r="K49" s="4" t="s">
        <v>18</v>
      </c>
      <c r="L49" s="4" t="s">
        <v>28</v>
      </c>
      <c r="M49" s="4" t="s">
        <v>20</v>
      </c>
    </row>
    <row r="50">
      <c r="A50" s="2" t="s">
        <v>79</v>
      </c>
      <c r="B50" s="2">
        <v>52.0</v>
      </c>
      <c r="C50" s="2" t="s">
        <v>31</v>
      </c>
      <c r="D50" s="3">
        <v>11252.0</v>
      </c>
      <c r="E50" s="2" t="s">
        <v>26</v>
      </c>
      <c r="F50" s="2">
        <v>84881.0</v>
      </c>
      <c r="G50" s="2" t="s">
        <v>23</v>
      </c>
      <c r="H50" s="2">
        <v>381.0</v>
      </c>
      <c r="I50" s="2">
        <v>6.0</v>
      </c>
      <c r="J50" s="2" t="s">
        <v>42</v>
      </c>
      <c r="K50" s="2" t="s">
        <v>18</v>
      </c>
      <c r="L50" s="2" t="s">
        <v>34</v>
      </c>
      <c r="M50" s="2" t="s">
        <v>20</v>
      </c>
    </row>
    <row r="51">
      <c r="A51" s="4" t="s">
        <v>80</v>
      </c>
      <c r="B51" s="4">
        <v>31.0</v>
      </c>
      <c r="C51" s="4" t="s">
        <v>31</v>
      </c>
      <c r="D51" s="5">
        <v>49764.0</v>
      </c>
      <c r="E51" s="4" t="s">
        <v>15</v>
      </c>
      <c r="F51" s="4">
        <v>110827.0</v>
      </c>
      <c r="G51" s="4" t="s">
        <v>33</v>
      </c>
      <c r="H51" s="4">
        <v>430.0</v>
      </c>
      <c r="I51" s="4">
        <v>3.0</v>
      </c>
      <c r="J51" s="4" t="s">
        <v>45</v>
      </c>
      <c r="K51" s="4" t="s">
        <v>24</v>
      </c>
      <c r="L51" s="4" t="s">
        <v>28</v>
      </c>
      <c r="M51" s="4" t="s">
        <v>20</v>
      </c>
    </row>
    <row r="52">
      <c r="A52" s="2" t="s">
        <v>81</v>
      </c>
      <c r="B52" s="2">
        <v>34.0</v>
      </c>
      <c r="C52" s="2" t="s">
        <v>14</v>
      </c>
      <c r="D52" s="3">
        <v>87709.0</v>
      </c>
      <c r="E52" s="2" t="s">
        <v>22</v>
      </c>
      <c r="F52" s="2">
        <v>122215.0</v>
      </c>
      <c r="G52" s="2" t="s">
        <v>23</v>
      </c>
      <c r="H52" s="2">
        <v>604.0</v>
      </c>
      <c r="I52" s="2">
        <v>12.0</v>
      </c>
      <c r="J52" s="2" t="s">
        <v>17</v>
      </c>
      <c r="K52" s="2" t="s">
        <v>24</v>
      </c>
      <c r="L52" s="2" t="s">
        <v>19</v>
      </c>
      <c r="M52" s="2" t="s">
        <v>20</v>
      </c>
    </row>
    <row r="53">
      <c r="A53" s="4" t="s">
        <v>82</v>
      </c>
      <c r="B53" s="4">
        <v>53.0</v>
      </c>
      <c r="C53" s="4" t="s">
        <v>14</v>
      </c>
      <c r="D53" s="5">
        <v>63682.0</v>
      </c>
      <c r="E53" s="4" t="s">
        <v>15</v>
      </c>
      <c r="F53" s="4">
        <v>177361.0</v>
      </c>
      <c r="G53" s="4" t="s">
        <v>23</v>
      </c>
      <c r="H53" s="4">
        <v>670.0</v>
      </c>
      <c r="I53" s="4">
        <v>24.0</v>
      </c>
      <c r="J53" s="4" t="s">
        <v>27</v>
      </c>
      <c r="K53" s="4" t="s">
        <v>24</v>
      </c>
      <c r="L53" s="4" t="s">
        <v>28</v>
      </c>
      <c r="M53" s="4" t="s">
        <v>20</v>
      </c>
    </row>
    <row r="54">
      <c r="A54" s="2" t="s">
        <v>83</v>
      </c>
      <c r="B54" s="2">
        <v>57.0</v>
      </c>
      <c r="C54" s="2" t="s">
        <v>14</v>
      </c>
      <c r="D54" s="3">
        <v>69494.0</v>
      </c>
      <c r="E54" s="2" t="s">
        <v>26</v>
      </c>
      <c r="F54" s="2">
        <v>154461.0</v>
      </c>
      <c r="G54" s="2" t="s">
        <v>33</v>
      </c>
      <c r="H54" s="2">
        <v>683.0</v>
      </c>
      <c r="I54" s="2">
        <v>3.0</v>
      </c>
      <c r="J54" s="2" t="s">
        <v>17</v>
      </c>
      <c r="K54" s="2" t="s">
        <v>24</v>
      </c>
      <c r="L54" s="2" t="s">
        <v>28</v>
      </c>
      <c r="M54" s="2" t="s">
        <v>20</v>
      </c>
    </row>
    <row r="55">
      <c r="A55" s="4" t="s">
        <v>84</v>
      </c>
      <c r="B55" s="4">
        <v>21.0</v>
      </c>
      <c r="C55" s="4" t="s">
        <v>31</v>
      </c>
      <c r="D55" s="5">
        <v>91317.0</v>
      </c>
      <c r="E55" s="4" t="s">
        <v>22</v>
      </c>
      <c r="F55" s="4">
        <v>176755.0</v>
      </c>
      <c r="G55" s="4" t="s">
        <v>16</v>
      </c>
      <c r="H55" s="4">
        <v>744.0</v>
      </c>
      <c r="I55" s="4">
        <v>3.0</v>
      </c>
      <c r="J55" s="4" t="s">
        <v>42</v>
      </c>
      <c r="K55" s="4" t="s">
        <v>24</v>
      </c>
      <c r="L55" s="4" t="s">
        <v>19</v>
      </c>
      <c r="M55" s="4" t="s">
        <v>20</v>
      </c>
    </row>
    <row r="56">
      <c r="A56" s="2" t="s">
        <v>85</v>
      </c>
      <c r="B56" s="2">
        <v>19.0</v>
      </c>
      <c r="C56" s="2" t="s">
        <v>14</v>
      </c>
      <c r="D56" s="3">
        <v>75215.0</v>
      </c>
      <c r="E56" s="2" t="s">
        <v>22</v>
      </c>
      <c r="F56" s="2">
        <v>164701.0</v>
      </c>
      <c r="G56" s="2" t="s">
        <v>16</v>
      </c>
      <c r="H56" s="2">
        <v>724.0</v>
      </c>
      <c r="I56" s="2">
        <v>6.0</v>
      </c>
      <c r="J56" s="2" t="s">
        <v>27</v>
      </c>
      <c r="K56" s="2" t="s">
        <v>24</v>
      </c>
      <c r="L56" s="2" t="s">
        <v>19</v>
      </c>
      <c r="M56" s="2" t="s">
        <v>20</v>
      </c>
    </row>
    <row r="57">
      <c r="A57" s="4" t="s">
        <v>86</v>
      </c>
      <c r="B57" s="4">
        <v>23.0</v>
      </c>
      <c r="C57" s="4" t="s">
        <v>14</v>
      </c>
      <c r="D57" s="5">
        <v>88587.0</v>
      </c>
      <c r="E57" s="4" t="s">
        <v>22</v>
      </c>
      <c r="F57" s="4">
        <v>81550.0</v>
      </c>
      <c r="G57" s="4" t="s">
        <v>23</v>
      </c>
      <c r="H57" s="4">
        <v>460.0</v>
      </c>
      <c r="I57" s="4">
        <v>3.0</v>
      </c>
      <c r="J57" s="4" t="s">
        <v>42</v>
      </c>
      <c r="K57" s="4" t="s">
        <v>24</v>
      </c>
      <c r="L57" s="4" t="s">
        <v>19</v>
      </c>
      <c r="M57" s="4" t="s">
        <v>20</v>
      </c>
    </row>
    <row r="58">
      <c r="A58" s="2" t="s">
        <v>87</v>
      </c>
      <c r="B58" s="2">
        <v>59.0</v>
      </c>
      <c r="C58" s="2" t="s">
        <v>14</v>
      </c>
      <c r="D58" s="3">
        <v>16949.0</v>
      </c>
      <c r="E58" s="2" t="s">
        <v>15</v>
      </c>
      <c r="F58" s="2">
        <v>44826.0</v>
      </c>
      <c r="G58" s="2" t="s">
        <v>33</v>
      </c>
      <c r="H58" s="2">
        <v>477.0</v>
      </c>
      <c r="I58" s="2">
        <v>6.0</v>
      </c>
      <c r="J58" s="2" t="s">
        <v>17</v>
      </c>
      <c r="K58" s="2" t="s">
        <v>18</v>
      </c>
      <c r="L58" s="2" t="s">
        <v>34</v>
      </c>
      <c r="M58" s="2" t="s">
        <v>20</v>
      </c>
    </row>
    <row r="59">
      <c r="A59" s="4" t="s">
        <v>88</v>
      </c>
      <c r="B59" s="4">
        <v>21.0</v>
      </c>
      <c r="C59" s="4" t="s">
        <v>31</v>
      </c>
      <c r="D59" s="5">
        <v>65393.0</v>
      </c>
      <c r="E59" s="4" t="s">
        <v>15</v>
      </c>
      <c r="F59" s="4">
        <v>120734.0</v>
      </c>
      <c r="G59" s="4" t="s">
        <v>16</v>
      </c>
      <c r="H59" s="4">
        <v>789.0</v>
      </c>
      <c r="I59" s="4">
        <v>24.0</v>
      </c>
      <c r="J59" s="4" t="s">
        <v>42</v>
      </c>
      <c r="K59" s="4" t="s">
        <v>24</v>
      </c>
      <c r="L59" s="4" t="s">
        <v>28</v>
      </c>
      <c r="M59" s="4" t="s">
        <v>20</v>
      </c>
    </row>
    <row r="60">
      <c r="A60" s="2" t="s">
        <v>89</v>
      </c>
      <c r="B60" s="2">
        <v>46.0</v>
      </c>
      <c r="C60" s="2" t="s">
        <v>14</v>
      </c>
      <c r="D60" s="3">
        <v>148013.0</v>
      </c>
      <c r="E60" s="2" t="s">
        <v>15</v>
      </c>
      <c r="F60" s="2">
        <v>177702.0</v>
      </c>
      <c r="G60" s="2" t="s">
        <v>23</v>
      </c>
      <c r="H60" s="2">
        <v>626.0</v>
      </c>
      <c r="I60" s="2">
        <v>24.0</v>
      </c>
      <c r="J60" s="2" t="s">
        <v>17</v>
      </c>
      <c r="K60" s="2" t="s">
        <v>24</v>
      </c>
      <c r="L60" s="2" t="s">
        <v>19</v>
      </c>
      <c r="M60" s="2" t="s">
        <v>20</v>
      </c>
    </row>
    <row r="61">
      <c r="A61" s="4" t="s">
        <v>90</v>
      </c>
      <c r="B61" s="4">
        <v>35.0</v>
      </c>
      <c r="C61" s="4" t="s">
        <v>14</v>
      </c>
      <c r="D61" s="5">
        <v>35934.0</v>
      </c>
      <c r="E61" s="4" t="s">
        <v>22</v>
      </c>
      <c r="F61" s="4">
        <v>197235.0</v>
      </c>
      <c r="G61" s="4" t="s">
        <v>16</v>
      </c>
      <c r="H61" s="4">
        <v>588.0</v>
      </c>
      <c r="I61" s="4">
        <v>12.0</v>
      </c>
      <c r="J61" s="4" t="s">
        <v>42</v>
      </c>
      <c r="K61" s="4" t="s">
        <v>18</v>
      </c>
      <c r="L61" s="4" t="s">
        <v>28</v>
      </c>
      <c r="M61" s="4" t="s">
        <v>20</v>
      </c>
    </row>
    <row r="62">
      <c r="A62" s="2" t="s">
        <v>91</v>
      </c>
      <c r="B62" s="2">
        <v>43.0</v>
      </c>
      <c r="C62" s="2" t="s">
        <v>31</v>
      </c>
      <c r="D62" s="3">
        <v>85745.0</v>
      </c>
      <c r="E62" s="2" t="s">
        <v>22</v>
      </c>
      <c r="F62" s="2">
        <v>118511.0</v>
      </c>
      <c r="G62" s="2" t="s">
        <v>23</v>
      </c>
      <c r="H62" s="2">
        <v>653.0</v>
      </c>
      <c r="I62" s="2">
        <v>12.0</v>
      </c>
      <c r="J62" s="2" t="s">
        <v>17</v>
      </c>
      <c r="K62" s="2" t="s">
        <v>24</v>
      </c>
      <c r="L62" s="2" t="s">
        <v>19</v>
      </c>
      <c r="M62" s="2" t="s">
        <v>20</v>
      </c>
    </row>
    <row r="63">
      <c r="A63" s="4" t="s">
        <v>92</v>
      </c>
      <c r="B63" s="4">
        <v>51.0</v>
      </c>
      <c r="C63" s="4" t="s">
        <v>14</v>
      </c>
      <c r="D63" s="5">
        <v>104456.0</v>
      </c>
      <c r="E63" s="4" t="s">
        <v>15</v>
      </c>
      <c r="F63" s="4">
        <v>31653.0</v>
      </c>
      <c r="G63" s="4" t="s">
        <v>16</v>
      </c>
      <c r="H63" s="4">
        <v>327.0</v>
      </c>
      <c r="I63" s="4">
        <v>12.0</v>
      </c>
      <c r="J63" s="4" t="s">
        <v>45</v>
      </c>
      <c r="K63" s="4" t="s">
        <v>18</v>
      </c>
      <c r="L63" s="4" t="s">
        <v>19</v>
      </c>
      <c r="M63" s="4" t="s">
        <v>20</v>
      </c>
    </row>
    <row r="64">
      <c r="A64" s="2" t="s">
        <v>93</v>
      </c>
      <c r="B64" s="2">
        <v>27.0</v>
      </c>
      <c r="C64" s="2" t="s">
        <v>14</v>
      </c>
      <c r="D64" s="3">
        <v>63413.0</v>
      </c>
      <c r="E64" s="2" t="s">
        <v>22</v>
      </c>
      <c r="F64" s="2">
        <v>179033.0</v>
      </c>
      <c r="G64" s="2" t="s">
        <v>16</v>
      </c>
      <c r="H64" s="2">
        <v>342.0</v>
      </c>
      <c r="I64" s="2">
        <v>3.0</v>
      </c>
      <c r="J64" s="2" t="s">
        <v>42</v>
      </c>
      <c r="K64" s="2" t="s">
        <v>18</v>
      </c>
      <c r="L64" s="2" t="s">
        <v>28</v>
      </c>
      <c r="M64" s="2" t="s">
        <v>20</v>
      </c>
    </row>
    <row r="65">
      <c r="A65" s="4" t="s">
        <v>94</v>
      </c>
      <c r="B65" s="4">
        <v>53.0</v>
      </c>
      <c r="C65" s="4" t="s">
        <v>31</v>
      </c>
      <c r="D65" s="5">
        <v>107239.0</v>
      </c>
      <c r="E65" s="4" t="s">
        <v>22</v>
      </c>
      <c r="F65" s="4">
        <v>101941.0</v>
      </c>
      <c r="G65" s="4" t="s">
        <v>33</v>
      </c>
      <c r="H65" s="4">
        <v>722.0</v>
      </c>
      <c r="I65" s="4">
        <v>24.0</v>
      </c>
      <c r="J65" s="4" t="s">
        <v>42</v>
      </c>
      <c r="K65" s="4" t="s">
        <v>24</v>
      </c>
      <c r="L65" s="4" t="s">
        <v>19</v>
      </c>
      <c r="M65" s="4" t="s">
        <v>20</v>
      </c>
    </row>
    <row r="66">
      <c r="A66" s="2" t="s">
        <v>95</v>
      </c>
      <c r="B66" s="2">
        <v>31.0</v>
      </c>
      <c r="C66" s="2" t="s">
        <v>14</v>
      </c>
      <c r="D66" s="3">
        <v>52318.0</v>
      </c>
      <c r="E66" s="2" t="s">
        <v>26</v>
      </c>
      <c r="F66" s="2">
        <v>53662.0</v>
      </c>
      <c r="G66" s="2" t="s">
        <v>16</v>
      </c>
      <c r="H66" s="2">
        <v>476.0</v>
      </c>
      <c r="I66" s="2">
        <v>6.0</v>
      </c>
      <c r="J66" s="2" t="s">
        <v>45</v>
      </c>
      <c r="K66" s="2" t="s">
        <v>18</v>
      </c>
      <c r="L66" s="2" t="s">
        <v>28</v>
      </c>
      <c r="M66" s="2" t="s">
        <v>20</v>
      </c>
    </row>
    <row r="67">
      <c r="A67" s="4" t="s">
        <v>96</v>
      </c>
      <c r="B67" s="4">
        <v>48.0</v>
      </c>
      <c r="C67" s="4" t="s">
        <v>31</v>
      </c>
      <c r="D67" s="5">
        <v>80390.0</v>
      </c>
      <c r="E67" s="4" t="s">
        <v>15</v>
      </c>
      <c r="F67" s="4">
        <v>118818.0</v>
      </c>
      <c r="G67" s="4" t="s">
        <v>23</v>
      </c>
      <c r="H67" s="4">
        <v>828.0</v>
      </c>
      <c r="I67" s="4">
        <v>12.0</v>
      </c>
      <c r="J67" s="4" t="s">
        <v>45</v>
      </c>
      <c r="K67" s="4" t="s">
        <v>24</v>
      </c>
      <c r="L67" s="4" t="s">
        <v>19</v>
      </c>
      <c r="M67" s="4" t="s">
        <v>20</v>
      </c>
    </row>
    <row r="68">
      <c r="A68" s="2" t="s">
        <v>97</v>
      </c>
      <c r="B68" s="2">
        <v>32.0</v>
      </c>
      <c r="C68" s="2" t="s">
        <v>31</v>
      </c>
      <c r="D68" s="3">
        <v>53088.0</v>
      </c>
      <c r="E68" s="2" t="s">
        <v>15</v>
      </c>
      <c r="F68" s="2">
        <v>172360.0</v>
      </c>
      <c r="G68" s="2" t="s">
        <v>33</v>
      </c>
      <c r="H68" s="2">
        <v>793.0</v>
      </c>
      <c r="I68" s="2">
        <v>6.0</v>
      </c>
      <c r="J68" s="2" t="s">
        <v>42</v>
      </c>
      <c r="K68" s="2" t="s">
        <v>24</v>
      </c>
      <c r="L68" s="2" t="s">
        <v>28</v>
      </c>
      <c r="M68" s="2" t="s">
        <v>20</v>
      </c>
    </row>
    <row r="69">
      <c r="A69" s="4" t="s">
        <v>98</v>
      </c>
      <c r="B69" s="4">
        <v>25.0</v>
      </c>
      <c r="C69" s="4" t="s">
        <v>14</v>
      </c>
      <c r="D69" s="5">
        <v>113196.0</v>
      </c>
      <c r="E69" s="4" t="s">
        <v>26</v>
      </c>
      <c r="F69" s="4">
        <v>115081.0</v>
      </c>
      <c r="G69" s="4" t="s">
        <v>33</v>
      </c>
      <c r="H69" s="4">
        <v>497.0</v>
      </c>
      <c r="I69" s="4">
        <v>6.0</v>
      </c>
      <c r="J69" s="4" t="s">
        <v>45</v>
      </c>
      <c r="K69" s="4" t="s">
        <v>18</v>
      </c>
      <c r="L69" s="4" t="s">
        <v>19</v>
      </c>
      <c r="M69" s="4" t="s">
        <v>20</v>
      </c>
    </row>
    <row r="70">
      <c r="A70" s="2" t="s">
        <v>99</v>
      </c>
      <c r="B70" s="2">
        <v>31.0</v>
      </c>
      <c r="C70" s="2" t="s">
        <v>14</v>
      </c>
      <c r="D70" s="3">
        <v>65479.0</v>
      </c>
      <c r="E70" s="2" t="s">
        <v>15</v>
      </c>
      <c r="F70" s="2">
        <v>56877.0</v>
      </c>
      <c r="G70" s="2" t="s">
        <v>16</v>
      </c>
      <c r="H70" s="2">
        <v>816.0</v>
      </c>
      <c r="I70" s="2">
        <v>12.0</v>
      </c>
      <c r="J70" s="2" t="s">
        <v>27</v>
      </c>
      <c r="K70" s="2" t="s">
        <v>24</v>
      </c>
      <c r="L70" s="2" t="s">
        <v>28</v>
      </c>
      <c r="M70" s="2" t="s">
        <v>20</v>
      </c>
    </row>
    <row r="71">
      <c r="A71" s="4" t="s">
        <v>100</v>
      </c>
      <c r="B71" s="4">
        <v>40.0</v>
      </c>
      <c r="C71" s="4" t="s">
        <v>14</v>
      </c>
      <c r="D71" s="5">
        <v>29963.0</v>
      </c>
      <c r="E71" s="4" t="s">
        <v>26</v>
      </c>
      <c r="F71" s="4">
        <v>131562.0</v>
      </c>
      <c r="G71" s="4" t="s">
        <v>16</v>
      </c>
      <c r="H71" s="4">
        <v>813.0</v>
      </c>
      <c r="I71" s="4">
        <v>24.0</v>
      </c>
      <c r="J71" s="4" t="s">
        <v>17</v>
      </c>
      <c r="K71" s="4" t="s">
        <v>18</v>
      </c>
      <c r="L71" s="4" t="s">
        <v>34</v>
      </c>
      <c r="M71" s="4" t="s">
        <v>20</v>
      </c>
    </row>
    <row r="72">
      <c r="A72" s="2" t="s">
        <v>101</v>
      </c>
      <c r="B72" s="2">
        <v>57.0</v>
      </c>
      <c r="C72" s="2" t="s">
        <v>14</v>
      </c>
      <c r="D72" s="3">
        <v>65123.0</v>
      </c>
      <c r="E72" s="2" t="s">
        <v>22</v>
      </c>
      <c r="F72" s="2">
        <v>166385.0</v>
      </c>
      <c r="G72" s="2" t="s">
        <v>16</v>
      </c>
      <c r="H72" s="2">
        <v>321.0</v>
      </c>
      <c r="I72" s="2">
        <v>12.0</v>
      </c>
      <c r="J72" s="2" t="s">
        <v>17</v>
      </c>
      <c r="K72" s="2" t="s">
        <v>18</v>
      </c>
      <c r="L72" s="2" t="s">
        <v>28</v>
      </c>
      <c r="M72" s="2" t="s">
        <v>20</v>
      </c>
    </row>
    <row r="73">
      <c r="A73" s="4" t="s">
        <v>102</v>
      </c>
      <c r="B73" s="4">
        <v>38.0</v>
      </c>
      <c r="C73" s="4" t="s">
        <v>31</v>
      </c>
      <c r="D73" s="5">
        <v>135911.0</v>
      </c>
      <c r="E73" s="4" t="s">
        <v>22</v>
      </c>
      <c r="F73" s="4">
        <v>92715.0</v>
      </c>
      <c r="G73" s="4" t="s">
        <v>33</v>
      </c>
      <c r="H73" s="4">
        <v>411.0</v>
      </c>
      <c r="I73" s="4">
        <v>6.0</v>
      </c>
      <c r="J73" s="4" t="s">
        <v>17</v>
      </c>
      <c r="K73" s="4" t="s">
        <v>24</v>
      </c>
      <c r="L73" s="4" t="s">
        <v>19</v>
      </c>
      <c r="M73" s="4" t="s">
        <v>20</v>
      </c>
    </row>
    <row r="74">
      <c r="A74" s="2" t="s">
        <v>103</v>
      </c>
      <c r="B74" s="2">
        <v>33.0</v>
      </c>
      <c r="C74" s="2" t="s">
        <v>14</v>
      </c>
      <c r="D74" s="3">
        <v>112468.0</v>
      </c>
      <c r="E74" s="2" t="s">
        <v>22</v>
      </c>
      <c r="F74" s="2">
        <v>161398.0</v>
      </c>
      <c r="G74" s="2" t="s">
        <v>33</v>
      </c>
      <c r="H74" s="2">
        <v>356.0</v>
      </c>
      <c r="I74" s="2">
        <v>12.0</v>
      </c>
      <c r="J74" s="2" t="s">
        <v>27</v>
      </c>
      <c r="K74" s="2" t="s">
        <v>24</v>
      </c>
      <c r="L74" s="2" t="s">
        <v>19</v>
      </c>
      <c r="M74" s="2" t="s">
        <v>20</v>
      </c>
    </row>
    <row r="75">
      <c r="A75" s="4" t="s">
        <v>104</v>
      </c>
      <c r="B75" s="4">
        <v>35.0</v>
      </c>
      <c r="C75" s="4" t="s">
        <v>31</v>
      </c>
      <c r="D75" s="5">
        <v>83477.0</v>
      </c>
      <c r="E75" s="4" t="s">
        <v>22</v>
      </c>
      <c r="F75" s="4">
        <v>130091.0</v>
      </c>
      <c r="G75" s="4" t="s">
        <v>23</v>
      </c>
      <c r="H75" s="4">
        <v>365.0</v>
      </c>
      <c r="I75" s="4">
        <v>6.0</v>
      </c>
      <c r="J75" s="4" t="s">
        <v>45</v>
      </c>
      <c r="K75" s="4" t="s">
        <v>24</v>
      </c>
      <c r="L75" s="4" t="s">
        <v>19</v>
      </c>
      <c r="M75" s="4" t="s">
        <v>20</v>
      </c>
    </row>
    <row r="76">
      <c r="A76" s="2" t="s">
        <v>105</v>
      </c>
      <c r="B76" s="2">
        <v>41.0</v>
      </c>
      <c r="C76" s="2" t="s">
        <v>14</v>
      </c>
      <c r="D76" s="3">
        <v>24388.0</v>
      </c>
      <c r="E76" s="2" t="s">
        <v>15</v>
      </c>
      <c r="F76" s="2">
        <v>152632.0</v>
      </c>
      <c r="G76" s="2" t="s">
        <v>33</v>
      </c>
      <c r="H76" s="2">
        <v>397.0</v>
      </c>
      <c r="I76" s="2">
        <v>6.0</v>
      </c>
      <c r="J76" s="2" t="s">
        <v>45</v>
      </c>
      <c r="K76" s="2" t="s">
        <v>18</v>
      </c>
      <c r="L76" s="2" t="s">
        <v>34</v>
      </c>
      <c r="M76" s="2" t="s">
        <v>20</v>
      </c>
    </row>
    <row r="77">
      <c r="A77" s="4" t="s">
        <v>106</v>
      </c>
      <c r="B77" s="4">
        <v>43.0</v>
      </c>
      <c r="C77" s="4" t="s">
        <v>14</v>
      </c>
      <c r="D77" s="5">
        <v>15569.0</v>
      </c>
      <c r="E77" s="4" t="s">
        <v>22</v>
      </c>
      <c r="F77" s="4">
        <v>99148.0</v>
      </c>
      <c r="G77" s="4" t="s">
        <v>23</v>
      </c>
      <c r="H77" s="4">
        <v>443.0</v>
      </c>
      <c r="I77" s="4">
        <v>12.0</v>
      </c>
      <c r="J77" s="4" t="s">
        <v>42</v>
      </c>
      <c r="K77" s="4" t="s">
        <v>18</v>
      </c>
      <c r="L77" s="4" t="s">
        <v>34</v>
      </c>
      <c r="M77" s="4" t="s">
        <v>20</v>
      </c>
    </row>
    <row r="78">
      <c r="A78" s="2" t="s">
        <v>107</v>
      </c>
      <c r="B78" s="2">
        <v>42.0</v>
      </c>
      <c r="C78" s="2" t="s">
        <v>14</v>
      </c>
      <c r="D78" s="3">
        <v>79836.0</v>
      </c>
      <c r="E78" s="2" t="s">
        <v>22</v>
      </c>
      <c r="F78" s="2">
        <v>103186.0</v>
      </c>
      <c r="G78" s="2" t="s">
        <v>23</v>
      </c>
      <c r="H78" s="2">
        <v>734.0</v>
      </c>
      <c r="I78" s="2">
        <v>3.0</v>
      </c>
      <c r="J78" s="2" t="s">
        <v>45</v>
      </c>
      <c r="K78" s="2" t="s">
        <v>24</v>
      </c>
      <c r="L78" s="2" t="s">
        <v>19</v>
      </c>
      <c r="M78" s="2" t="s">
        <v>20</v>
      </c>
    </row>
    <row r="79">
      <c r="A79" s="4" t="s">
        <v>108</v>
      </c>
      <c r="B79" s="4">
        <v>58.0</v>
      </c>
      <c r="C79" s="4" t="s">
        <v>31</v>
      </c>
      <c r="D79" s="5">
        <v>114573.0</v>
      </c>
      <c r="E79" s="4" t="s">
        <v>22</v>
      </c>
      <c r="F79" s="4">
        <v>177817.0</v>
      </c>
      <c r="G79" s="4" t="s">
        <v>16</v>
      </c>
      <c r="H79" s="4">
        <v>385.0</v>
      </c>
      <c r="I79" s="4">
        <v>12.0</v>
      </c>
      <c r="J79" s="4" t="s">
        <v>42</v>
      </c>
      <c r="K79" s="4" t="s">
        <v>18</v>
      </c>
      <c r="L79" s="4" t="s">
        <v>19</v>
      </c>
      <c r="M79" s="4" t="s">
        <v>20</v>
      </c>
    </row>
    <row r="80">
      <c r="A80" s="2" t="s">
        <v>109</v>
      </c>
      <c r="B80" s="2">
        <v>46.0</v>
      </c>
      <c r="C80" s="2" t="s">
        <v>14</v>
      </c>
      <c r="D80" s="3">
        <v>55002.0</v>
      </c>
      <c r="E80" s="2" t="s">
        <v>22</v>
      </c>
      <c r="F80" s="2">
        <v>182962.0</v>
      </c>
      <c r="G80" s="2" t="s">
        <v>33</v>
      </c>
      <c r="H80" s="2">
        <v>643.0</v>
      </c>
      <c r="I80" s="2">
        <v>3.0</v>
      </c>
      <c r="J80" s="2" t="s">
        <v>27</v>
      </c>
      <c r="K80" s="2" t="s">
        <v>24</v>
      </c>
      <c r="L80" s="2" t="s">
        <v>28</v>
      </c>
      <c r="M80" s="2" t="s">
        <v>20</v>
      </c>
    </row>
    <row r="81">
      <c r="A81" s="4" t="s">
        <v>110</v>
      </c>
      <c r="B81" s="4">
        <v>32.0</v>
      </c>
      <c r="C81" s="4" t="s">
        <v>14</v>
      </c>
      <c r="D81" s="5">
        <v>147326.0</v>
      </c>
      <c r="E81" s="4" t="s">
        <v>15</v>
      </c>
      <c r="F81" s="4">
        <v>171094.0</v>
      </c>
      <c r="G81" s="4" t="s">
        <v>16</v>
      </c>
      <c r="H81" s="4">
        <v>593.0</v>
      </c>
      <c r="I81" s="4">
        <v>6.0</v>
      </c>
      <c r="J81" s="4" t="s">
        <v>17</v>
      </c>
      <c r="K81" s="4" t="s">
        <v>18</v>
      </c>
      <c r="L81" s="4" t="s">
        <v>19</v>
      </c>
      <c r="M81" s="4" t="s">
        <v>20</v>
      </c>
    </row>
    <row r="82">
      <c r="A82" s="2" t="s">
        <v>111</v>
      </c>
      <c r="B82" s="2">
        <v>18.0</v>
      </c>
      <c r="C82" s="2" t="s">
        <v>14</v>
      </c>
      <c r="D82" s="3">
        <v>147162.0</v>
      </c>
      <c r="E82" s="2" t="s">
        <v>22</v>
      </c>
      <c r="F82" s="2">
        <v>143629.0</v>
      </c>
      <c r="G82" s="2" t="s">
        <v>33</v>
      </c>
      <c r="H82" s="2">
        <v>542.0</v>
      </c>
      <c r="I82" s="2">
        <v>6.0</v>
      </c>
      <c r="J82" s="2" t="s">
        <v>17</v>
      </c>
      <c r="K82" s="2" t="s">
        <v>24</v>
      </c>
      <c r="L82" s="2" t="s">
        <v>19</v>
      </c>
      <c r="M82" s="2" t="s">
        <v>20</v>
      </c>
    </row>
    <row r="83">
      <c r="A83" s="4" t="s">
        <v>112</v>
      </c>
      <c r="B83" s="4">
        <v>42.0</v>
      </c>
      <c r="C83" s="4" t="s">
        <v>14</v>
      </c>
      <c r="D83" s="5">
        <v>34071.0</v>
      </c>
      <c r="E83" s="4" t="s">
        <v>15</v>
      </c>
      <c r="F83" s="4">
        <v>90316.0</v>
      </c>
      <c r="G83" s="4" t="s">
        <v>33</v>
      </c>
      <c r="H83" s="4">
        <v>331.0</v>
      </c>
      <c r="I83" s="4">
        <v>3.0</v>
      </c>
      <c r="J83" s="4" t="s">
        <v>17</v>
      </c>
      <c r="K83" s="4" t="s">
        <v>24</v>
      </c>
      <c r="L83" s="4" t="s">
        <v>28</v>
      </c>
      <c r="M83" s="4" t="s">
        <v>20</v>
      </c>
    </row>
    <row r="84">
      <c r="A84" s="2" t="s">
        <v>113</v>
      </c>
      <c r="B84" s="2">
        <v>24.0</v>
      </c>
      <c r="C84" s="2" t="s">
        <v>31</v>
      </c>
      <c r="D84" s="3">
        <v>68243.0</v>
      </c>
      <c r="E84" s="2" t="s">
        <v>22</v>
      </c>
      <c r="F84" s="2">
        <v>48380.0</v>
      </c>
      <c r="G84" s="2" t="s">
        <v>33</v>
      </c>
      <c r="H84" s="2">
        <v>690.0</v>
      </c>
      <c r="I84" s="2">
        <v>6.0</v>
      </c>
      <c r="J84" s="2" t="s">
        <v>45</v>
      </c>
      <c r="K84" s="2" t="s">
        <v>24</v>
      </c>
      <c r="L84" s="2" t="s">
        <v>28</v>
      </c>
      <c r="M84" s="2" t="s">
        <v>20</v>
      </c>
    </row>
    <row r="85">
      <c r="A85" s="4" t="s">
        <v>114</v>
      </c>
      <c r="B85" s="4">
        <v>26.0</v>
      </c>
      <c r="C85" s="4" t="s">
        <v>14</v>
      </c>
      <c r="D85" s="5">
        <v>135827.0</v>
      </c>
      <c r="E85" s="4" t="s">
        <v>15</v>
      </c>
      <c r="F85" s="4">
        <v>130198.0</v>
      </c>
      <c r="G85" s="4" t="s">
        <v>16</v>
      </c>
      <c r="H85" s="4">
        <v>576.0</v>
      </c>
      <c r="I85" s="4">
        <v>3.0</v>
      </c>
      <c r="J85" s="4" t="s">
        <v>42</v>
      </c>
      <c r="K85" s="4" t="s">
        <v>18</v>
      </c>
      <c r="L85" s="4" t="s">
        <v>19</v>
      </c>
      <c r="M85" s="4" t="s">
        <v>20</v>
      </c>
    </row>
    <row r="86">
      <c r="A86" s="2" t="s">
        <v>115</v>
      </c>
      <c r="B86" s="2">
        <v>41.0</v>
      </c>
      <c r="C86" s="2" t="s">
        <v>31</v>
      </c>
      <c r="D86" s="3">
        <v>118215.0</v>
      </c>
      <c r="E86" s="2" t="s">
        <v>26</v>
      </c>
      <c r="F86" s="2">
        <v>22356.0</v>
      </c>
      <c r="G86" s="2" t="s">
        <v>16</v>
      </c>
      <c r="H86" s="2">
        <v>831.0</v>
      </c>
      <c r="I86" s="2">
        <v>3.0</v>
      </c>
      <c r="J86" s="2" t="s">
        <v>42</v>
      </c>
      <c r="K86" s="2" t="s">
        <v>18</v>
      </c>
      <c r="L86" s="2" t="s">
        <v>19</v>
      </c>
      <c r="M86" s="2" t="s">
        <v>20</v>
      </c>
    </row>
    <row r="87">
      <c r="A87" s="4" t="s">
        <v>116</v>
      </c>
      <c r="B87" s="4">
        <v>18.0</v>
      </c>
      <c r="C87" s="4" t="s">
        <v>31</v>
      </c>
      <c r="D87" s="5">
        <v>111570.0</v>
      </c>
      <c r="E87" s="4" t="s">
        <v>22</v>
      </c>
      <c r="F87" s="4">
        <v>90326.0</v>
      </c>
      <c r="G87" s="4" t="s">
        <v>16</v>
      </c>
      <c r="H87" s="4">
        <v>453.0</v>
      </c>
      <c r="I87" s="4">
        <v>6.0</v>
      </c>
      <c r="J87" s="4" t="s">
        <v>27</v>
      </c>
      <c r="K87" s="4" t="s">
        <v>18</v>
      </c>
      <c r="L87" s="4" t="s">
        <v>19</v>
      </c>
      <c r="M87" s="4" t="s">
        <v>20</v>
      </c>
    </row>
    <row r="88">
      <c r="A88" s="2" t="s">
        <v>117</v>
      </c>
      <c r="B88" s="2">
        <v>25.0</v>
      </c>
      <c r="C88" s="2" t="s">
        <v>31</v>
      </c>
      <c r="D88" s="3">
        <v>79724.0</v>
      </c>
      <c r="E88" s="2" t="s">
        <v>15</v>
      </c>
      <c r="F88" s="2">
        <v>112447.0</v>
      </c>
      <c r="G88" s="2" t="s">
        <v>16</v>
      </c>
      <c r="H88" s="2">
        <v>682.0</v>
      </c>
      <c r="I88" s="2">
        <v>24.0</v>
      </c>
      <c r="J88" s="2" t="s">
        <v>45</v>
      </c>
      <c r="K88" s="2" t="s">
        <v>24</v>
      </c>
      <c r="L88" s="2" t="s">
        <v>19</v>
      </c>
      <c r="M88" s="2" t="s">
        <v>20</v>
      </c>
    </row>
    <row r="89">
      <c r="A89" s="4" t="s">
        <v>118</v>
      </c>
      <c r="B89" s="4">
        <v>41.0</v>
      </c>
      <c r="C89" s="4" t="s">
        <v>31</v>
      </c>
      <c r="D89" s="5">
        <v>125359.0</v>
      </c>
      <c r="E89" s="4" t="s">
        <v>22</v>
      </c>
      <c r="F89" s="4">
        <v>134994.0</v>
      </c>
      <c r="G89" s="4" t="s">
        <v>16</v>
      </c>
      <c r="H89" s="4">
        <v>367.0</v>
      </c>
      <c r="I89" s="4">
        <v>3.0</v>
      </c>
      <c r="J89" s="4" t="s">
        <v>27</v>
      </c>
      <c r="K89" s="4" t="s">
        <v>18</v>
      </c>
      <c r="L89" s="4" t="s">
        <v>19</v>
      </c>
      <c r="M89" s="4" t="s">
        <v>20</v>
      </c>
    </row>
    <row r="90">
      <c r="A90" s="2" t="s">
        <v>119</v>
      </c>
      <c r="B90" s="2">
        <v>28.0</v>
      </c>
      <c r="C90" s="2" t="s">
        <v>31</v>
      </c>
      <c r="D90" s="3">
        <v>85697.0</v>
      </c>
      <c r="E90" s="2" t="s">
        <v>22</v>
      </c>
      <c r="F90" s="2">
        <v>40049.0</v>
      </c>
      <c r="G90" s="2" t="s">
        <v>33</v>
      </c>
      <c r="H90" s="2">
        <v>513.0</v>
      </c>
      <c r="I90" s="2">
        <v>12.0</v>
      </c>
      <c r="J90" s="2" t="s">
        <v>42</v>
      </c>
      <c r="K90" s="2" t="s">
        <v>24</v>
      </c>
      <c r="L90" s="2" t="s">
        <v>19</v>
      </c>
      <c r="M90" s="2" t="s">
        <v>20</v>
      </c>
    </row>
    <row r="91">
      <c r="A91" s="4" t="s">
        <v>120</v>
      </c>
      <c r="B91" s="4">
        <v>34.0</v>
      </c>
      <c r="C91" s="4" t="s">
        <v>31</v>
      </c>
      <c r="D91" s="5">
        <v>38732.0</v>
      </c>
      <c r="E91" s="4" t="s">
        <v>26</v>
      </c>
      <c r="F91" s="4">
        <v>125361.0</v>
      </c>
      <c r="G91" s="4" t="s">
        <v>23</v>
      </c>
      <c r="H91" s="4">
        <v>675.0</v>
      </c>
      <c r="I91" s="4">
        <v>12.0</v>
      </c>
      <c r="J91" s="4" t="s">
        <v>42</v>
      </c>
      <c r="K91" s="4" t="s">
        <v>24</v>
      </c>
      <c r="L91" s="4" t="s">
        <v>28</v>
      </c>
      <c r="M91" s="4" t="s">
        <v>20</v>
      </c>
    </row>
    <row r="92">
      <c r="A92" s="2" t="s">
        <v>121</v>
      </c>
      <c r="B92" s="2">
        <v>25.0</v>
      </c>
      <c r="C92" s="2" t="s">
        <v>14</v>
      </c>
      <c r="D92" s="3">
        <v>131465.0</v>
      </c>
      <c r="E92" s="2" t="s">
        <v>22</v>
      </c>
      <c r="F92" s="2">
        <v>36082.0</v>
      </c>
      <c r="G92" s="2" t="s">
        <v>16</v>
      </c>
      <c r="H92" s="2">
        <v>512.0</v>
      </c>
      <c r="I92" s="2">
        <v>6.0</v>
      </c>
      <c r="J92" s="2" t="s">
        <v>17</v>
      </c>
      <c r="K92" s="2" t="s">
        <v>18</v>
      </c>
      <c r="L92" s="2" t="s">
        <v>19</v>
      </c>
      <c r="M92" s="2" t="s">
        <v>20</v>
      </c>
    </row>
    <row r="93">
      <c r="A93" s="4" t="s">
        <v>122</v>
      </c>
      <c r="B93" s="4">
        <v>52.0</v>
      </c>
      <c r="C93" s="4" t="s">
        <v>31</v>
      </c>
      <c r="D93" s="5">
        <v>67108.0</v>
      </c>
      <c r="E93" s="4" t="s">
        <v>22</v>
      </c>
      <c r="F93" s="4">
        <v>20661.0</v>
      </c>
      <c r="G93" s="4" t="s">
        <v>16</v>
      </c>
      <c r="H93" s="4">
        <v>378.0</v>
      </c>
      <c r="I93" s="4">
        <v>24.0</v>
      </c>
      <c r="J93" s="4" t="s">
        <v>45</v>
      </c>
      <c r="K93" s="4" t="s">
        <v>18</v>
      </c>
      <c r="L93" s="4" t="s">
        <v>28</v>
      </c>
      <c r="M93" s="4" t="s">
        <v>20</v>
      </c>
    </row>
    <row r="94">
      <c r="A94" s="2" t="s">
        <v>123</v>
      </c>
      <c r="B94" s="2">
        <v>52.0</v>
      </c>
      <c r="C94" s="2" t="s">
        <v>31</v>
      </c>
      <c r="D94" s="3">
        <v>121195.0</v>
      </c>
      <c r="E94" s="2" t="s">
        <v>15</v>
      </c>
      <c r="F94" s="2">
        <v>188484.0</v>
      </c>
      <c r="G94" s="2" t="s">
        <v>16</v>
      </c>
      <c r="H94" s="2">
        <v>680.0</v>
      </c>
      <c r="I94" s="2">
        <v>6.0</v>
      </c>
      <c r="J94" s="2" t="s">
        <v>42</v>
      </c>
      <c r="K94" s="2" t="s">
        <v>24</v>
      </c>
      <c r="L94" s="2" t="s">
        <v>19</v>
      </c>
      <c r="M94" s="2" t="s">
        <v>20</v>
      </c>
    </row>
    <row r="95">
      <c r="A95" s="4" t="s">
        <v>124</v>
      </c>
      <c r="B95" s="4">
        <v>50.0</v>
      </c>
      <c r="C95" s="4" t="s">
        <v>31</v>
      </c>
      <c r="D95" s="5">
        <v>113081.0</v>
      </c>
      <c r="E95" s="4" t="s">
        <v>22</v>
      </c>
      <c r="F95" s="4">
        <v>22920.0</v>
      </c>
      <c r="G95" s="4" t="s">
        <v>23</v>
      </c>
      <c r="H95" s="4">
        <v>357.0</v>
      </c>
      <c r="I95" s="4">
        <v>24.0</v>
      </c>
      <c r="J95" s="4" t="s">
        <v>17</v>
      </c>
      <c r="K95" s="4" t="s">
        <v>24</v>
      </c>
      <c r="L95" s="4" t="s">
        <v>19</v>
      </c>
      <c r="M95" s="4" t="s">
        <v>20</v>
      </c>
    </row>
    <row r="96">
      <c r="A96" s="2" t="s">
        <v>125</v>
      </c>
      <c r="B96" s="2">
        <v>22.0</v>
      </c>
      <c r="C96" s="2" t="s">
        <v>14</v>
      </c>
      <c r="D96" s="3">
        <v>46668.0</v>
      </c>
      <c r="E96" s="2" t="s">
        <v>26</v>
      </c>
      <c r="F96" s="2">
        <v>99561.0</v>
      </c>
      <c r="G96" s="2" t="s">
        <v>23</v>
      </c>
      <c r="H96" s="2">
        <v>325.0</v>
      </c>
      <c r="I96" s="2">
        <v>3.0</v>
      </c>
      <c r="J96" s="2" t="s">
        <v>45</v>
      </c>
      <c r="K96" s="2" t="s">
        <v>18</v>
      </c>
      <c r="L96" s="2" t="s">
        <v>28</v>
      </c>
      <c r="M96" s="2" t="s">
        <v>20</v>
      </c>
    </row>
    <row r="97">
      <c r="A97" s="4" t="s">
        <v>126</v>
      </c>
      <c r="B97" s="4">
        <v>59.0</v>
      </c>
      <c r="C97" s="4" t="s">
        <v>14</v>
      </c>
      <c r="D97" s="5">
        <v>33061.0</v>
      </c>
      <c r="E97" s="4" t="s">
        <v>22</v>
      </c>
      <c r="F97" s="4">
        <v>28946.0</v>
      </c>
      <c r="G97" s="4" t="s">
        <v>33</v>
      </c>
      <c r="H97" s="4">
        <v>746.0</v>
      </c>
      <c r="I97" s="4">
        <v>3.0</v>
      </c>
      <c r="J97" s="4" t="s">
        <v>27</v>
      </c>
      <c r="K97" s="4" t="s">
        <v>24</v>
      </c>
      <c r="L97" s="4" t="s">
        <v>28</v>
      </c>
      <c r="M97" s="4" t="s">
        <v>20</v>
      </c>
    </row>
    <row r="98">
      <c r="A98" s="2" t="s">
        <v>127</v>
      </c>
      <c r="B98" s="2">
        <v>56.0</v>
      </c>
      <c r="C98" s="2" t="s">
        <v>31</v>
      </c>
      <c r="D98" s="3">
        <v>89252.0</v>
      </c>
      <c r="E98" s="2" t="s">
        <v>26</v>
      </c>
      <c r="F98" s="2">
        <v>196572.0</v>
      </c>
      <c r="G98" s="2" t="s">
        <v>16</v>
      </c>
      <c r="H98" s="2">
        <v>365.0</v>
      </c>
      <c r="I98" s="2">
        <v>3.0</v>
      </c>
      <c r="J98" s="2" t="s">
        <v>45</v>
      </c>
      <c r="K98" s="2" t="s">
        <v>18</v>
      </c>
      <c r="L98" s="2" t="s">
        <v>19</v>
      </c>
      <c r="M98" s="2" t="s">
        <v>20</v>
      </c>
    </row>
    <row r="99">
      <c r="A99" s="4" t="s">
        <v>128</v>
      </c>
      <c r="B99" s="4">
        <v>58.0</v>
      </c>
      <c r="C99" s="4" t="s">
        <v>14</v>
      </c>
      <c r="D99" s="5">
        <v>49749.0</v>
      </c>
      <c r="E99" s="4" t="s">
        <v>15</v>
      </c>
      <c r="F99" s="4">
        <v>36309.0</v>
      </c>
      <c r="G99" s="4" t="s">
        <v>33</v>
      </c>
      <c r="H99" s="4">
        <v>553.0</v>
      </c>
      <c r="I99" s="4">
        <v>3.0</v>
      </c>
      <c r="J99" s="4" t="s">
        <v>45</v>
      </c>
      <c r="K99" s="4" t="s">
        <v>24</v>
      </c>
      <c r="L99" s="4" t="s">
        <v>28</v>
      </c>
      <c r="M99" s="4" t="s">
        <v>20</v>
      </c>
    </row>
    <row r="100">
      <c r="A100" s="2" t="s">
        <v>129</v>
      </c>
      <c r="B100" s="2">
        <v>45.0</v>
      </c>
      <c r="C100" s="2" t="s">
        <v>31</v>
      </c>
      <c r="D100" s="3">
        <v>140560.0</v>
      </c>
      <c r="E100" s="2" t="s">
        <v>15</v>
      </c>
      <c r="F100" s="2">
        <v>75230.0</v>
      </c>
      <c r="G100" s="2" t="s">
        <v>33</v>
      </c>
      <c r="H100" s="2">
        <v>343.0</v>
      </c>
      <c r="I100" s="2">
        <v>12.0</v>
      </c>
      <c r="J100" s="2" t="s">
        <v>42</v>
      </c>
      <c r="K100" s="2" t="s">
        <v>24</v>
      </c>
      <c r="L100" s="2" t="s">
        <v>19</v>
      </c>
      <c r="M100" s="2" t="s">
        <v>20</v>
      </c>
    </row>
    <row r="101">
      <c r="A101" s="4" t="s">
        <v>130</v>
      </c>
      <c r="B101" s="4">
        <v>24.0</v>
      </c>
      <c r="C101" s="4" t="s">
        <v>31</v>
      </c>
      <c r="D101" s="5">
        <v>114680.0</v>
      </c>
      <c r="E101" s="4" t="s">
        <v>26</v>
      </c>
      <c r="F101" s="4">
        <v>131822.0</v>
      </c>
      <c r="G101" s="4" t="s">
        <v>16</v>
      </c>
      <c r="H101" s="4">
        <v>396.0</v>
      </c>
      <c r="I101" s="4">
        <v>12.0</v>
      </c>
      <c r="J101" s="4" t="s">
        <v>42</v>
      </c>
      <c r="K101" s="4" t="s">
        <v>18</v>
      </c>
      <c r="L101" s="4" t="s">
        <v>19</v>
      </c>
      <c r="M101" s="4" t="s">
        <v>20</v>
      </c>
    </row>
    <row r="102">
      <c r="A102" s="2" t="s">
        <v>131</v>
      </c>
      <c r="B102" s="2">
        <v>26.0</v>
      </c>
      <c r="C102" s="2" t="s">
        <v>14</v>
      </c>
      <c r="D102" s="3">
        <v>61745.0</v>
      </c>
      <c r="E102" s="2" t="s">
        <v>22</v>
      </c>
      <c r="F102" s="2">
        <v>181099.0</v>
      </c>
      <c r="G102" s="2" t="s">
        <v>33</v>
      </c>
      <c r="H102" s="2">
        <v>526.0</v>
      </c>
      <c r="I102" s="2">
        <v>6.0</v>
      </c>
      <c r="J102" s="2" t="s">
        <v>45</v>
      </c>
      <c r="K102" s="2" t="s">
        <v>24</v>
      </c>
      <c r="L102" s="2" t="s">
        <v>28</v>
      </c>
      <c r="M102" s="2" t="s">
        <v>20</v>
      </c>
    </row>
    <row r="103">
      <c r="A103" s="4" t="s">
        <v>132</v>
      </c>
      <c r="B103" s="4">
        <v>25.0</v>
      </c>
      <c r="C103" s="4" t="s">
        <v>31</v>
      </c>
      <c r="D103" s="5">
        <v>118464.0</v>
      </c>
      <c r="E103" s="4" t="s">
        <v>26</v>
      </c>
      <c r="F103" s="4">
        <v>132340.0</v>
      </c>
      <c r="G103" s="4" t="s">
        <v>16</v>
      </c>
      <c r="H103" s="4">
        <v>735.0</v>
      </c>
      <c r="I103" s="4">
        <v>24.0</v>
      </c>
      <c r="J103" s="4" t="s">
        <v>42</v>
      </c>
      <c r="K103" s="4" t="s">
        <v>18</v>
      </c>
      <c r="L103" s="4" t="s">
        <v>19</v>
      </c>
      <c r="M103" s="4" t="s">
        <v>20</v>
      </c>
    </row>
    <row r="104">
      <c r="A104" s="2" t="s">
        <v>133</v>
      </c>
      <c r="B104" s="2">
        <v>29.0</v>
      </c>
      <c r="C104" s="2" t="s">
        <v>14</v>
      </c>
      <c r="D104" s="3">
        <v>101865.0</v>
      </c>
      <c r="E104" s="2" t="s">
        <v>22</v>
      </c>
      <c r="F104" s="2">
        <v>79321.0</v>
      </c>
      <c r="G104" s="2" t="s">
        <v>33</v>
      </c>
      <c r="H104" s="2">
        <v>678.0</v>
      </c>
      <c r="I104" s="2">
        <v>3.0</v>
      </c>
      <c r="J104" s="2" t="s">
        <v>42</v>
      </c>
      <c r="K104" s="2" t="s">
        <v>24</v>
      </c>
      <c r="L104" s="2" t="s">
        <v>19</v>
      </c>
      <c r="M104" s="2" t="s">
        <v>20</v>
      </c>
    </row>
    <row r="105">
      <c r="A105" s="4" t="s">
        <v>134</v>
      </c>
      <c r="B105" s="4">
        <v>51.0</v>
      </c>
      <c r="C105" s="4" t="s">
        <v>14</v>
      </c>
      <c r="D105" s="5">
        <v>122428.0</v>
      </c>
      <c r="E105" s="4" t="s">
        <v>22</v>
      </c>
      <c r="F105" s="4">
        <v>152028.0</v>
      </c>
      <c r="G105" s="4" t="s">
        <v>16</v>
      </c>
      <c r="H105" s="4">
        <v>477.0</v>
      </c>
      <c r="I105" s="4">
        <v>3.0</v>
      </c>
      <c r="J105" s="4" t="s">
        <v>42</v>
      </c>
      <c r="K105" s="4" t="s">
        <v>18</v>
      </c>
      <c r="L105" s="4" t="s">
        <v>19</v>
      </c>
      <c r="M105" s="4" t="s">
        <v>20</v>
      </c>
    </row>
    <row r="106">
      <c r="A106" s="2" t="s">
        <v>135</v>
      </c>
      <c r="B106" s="2">
        <v>50.0</v>
      </c>
      <c r="C106" s="2" t="s">
        <v>31</v>
      </c>
      <c r="D106" s="3">
        <v>33624.0</v>
      </c>
      <c r="E106" s="2" t="s">
        <v>22</v>
      </c>
      <c r="F106" s="2">
        <v>94131.0</v>
      </c>
      <c r="G106" s="2" t="s">
        <v>33</v>
      </c>
      <c r="H106" s="2">
        <v>726.0</v>
      </c>
      <c r="I106" s="2">
        <v>24.0</v>
      </c>
      <c r="J106" s="2" t="s">
        <v>17</v>
      </c>
      <c r="K106" s="2" t="s">
        <v>24</v>
      </c>
      <c r="L106" s="2" t="s">
        <v>28</v>
      </c>
      <c r="M106" s="2" t="s">
        <v>20</v>
      </c>
    </row>
    <row r="107">
      <c r="A107" s="4" t="s">
        <v>136</v>
      </c>
      <c r="B107" s="4">
        <v>40.0</v>
      </c>
      <c r="C107" s="4" t="s">
        <v>31</v>
      </c>
      <c r="D107" s="5">
        <v>33321.0</v>
      </c>
      <c r="E107" s="4" t="s">
        <v>15</v>
      </c>
      <c r="F107" s="4">
        <v>198980.0</v>
      </c>
      <c r="G107" s="4" t="s">
        <v>33</v>
      </c>
      <c r="H107" s="4">
        <v>606.0</v>
      </c>
      <c r="I107" s="4">
        <v>24.0</v>
      </c>
      <c r="J107" s="4" t="s">
        <v>17</v>
      </c>
      <c r="K107" s="4" t="s">
        <v>24</v>
      </c>
      <c r="L107" s="4" t="s">
        <v>28</v>
      </c>
      <c r="M107" s="4" t="s">
        <v>20</v>
      </c>
    </row>
    <row r="108">
      <c r="A108" s="2" t="s">
        <v>137</v>
      </c>
      <c r="B108" s="2">
        <v>41.0</v>
      </c>
      <c r="C108" s="2" t="s">
        <v>14</v>
      </c>
      <c r="D108" s="3">
        <v>32574.0</v>
      </c>
      <c r="E108" s="2" t="s">
        <v>22</v>
      </c>
      <c r="F108" s="2">
        <v>45963.0</v>
      </c>
      <c r="G108" s="2" t="s">
        <v>33</v>
      </c>
      <c r="H108" s="2">
        <v>803.0</v>
      </c>
      <c r="I108" s="2">
        <v>6.0</v>
      </c>
      <c r="J108" s="2" t="s">
        <v>45</v>
      </c>
      <c r="K108" s="2" t="s">
        <v>24</v>
      </c>
      <c r="L108" s="2" t="s">
        <v>28</v>
      </c>
      <c r="M108" s="2" t="s">
        <v>20</v>
      </c>
    </row>
    <row r="109">
      <c r="A109" s="4" t="s">
        <v>138</v>
      </c>
      <c r="B109" s="4">
        <v>54.0</v>
      </c>
      <c r="C109" s="4" t="s">
        <v>31</v>
      </c>
      <c r="D109" s="5">
        <v>146312.0</v>
      </c>
      <c r="E109" s="4" t="s">
        <v>26</v>
      </c>
      <c r="F109" s="4">
        <v>121757.0</v>
      </c>
      <c r="G109" s="4" t="s">
        <v>33</v>
      </c>
      <c r="H109" s="4">
        <v>567.0</v>
      </c>
      <c r="I109" s="4">
        <v>24.0</v>
      </c>
      <c r="J109" s="4" t="s">
        <v>42</v>
      </c>
      <c r="K109" s="4" t="s">
        <v>18</v>
      </c>
      <c r="L109" s="4" t="s">
        <v>19</v>
      </c>
      <c r="M109" s="4" t="s">
        <v>20</v>
      </c>
    </row>
    <row r="110">
      <c r="A110" s="2" t="s">
        <v>139</v>
      </c>
      <c r="B110" s="2">
        <v>52.0</v>
      </c>
      <c r="C110" s="2" t="s">
        <v>31</v>
      </c>
      <c r="D110" s="3">
        <v>128831.0</v>
      </c>
      <c r="E110" s="2" t="s">
        <v>26</v>
      </c>
      <c r="F110" s="2">
        <v>190515.0</v>
      </c>
      <c r="G110" s="2" t="s">
        <v>16</v>
      </c>
      <c r="H110" s="2">
        <v>307.0</v>
      </c>
      <c r="I110" s="2">
        <v>3.0</v>
      </c>
      <c r="J110" s="2" t="s">
        <v>17</v>
      </c>
      <c r="K110" s="2" t="s">
        <v>18</v>
      </c>
      <c r="L110" s="2" t="s">
        <v>19</v>
      </c>
      <c r="M110" s="2" t="s">
        <v>20</v>
      </c>
    </row>
    <row r="111">
      <c r="A111" s="4" t="s">
        <v>140</v>
      </c>
      <c r="B111" s="4">
        <v>57.0</v>
      </c>
      <c r="C111" s="4" t="s">
        <v>31</v>
      </c>
      <c r="D111" s="5">
        <v>145504.0</v>
      </c>
      <c r="E111" s="4" t="s">
        <v>26</v>
      </c>
      <c r="F111" s="4">
        <v>119259.0</v>
      </c>
      <c r="G111" s="4" t="s">
        <v>16</v>
      </c>
      <c r="H111" s="4">
        <v>807.0</v>
      </c>
      <c r="I111" s="4">
        <v>3.0</v>
      </c>
      <c r="J111" s="4" t="s">
        <v>45</v>
      </c>
      <c r="K111" s="4" t="s">
        <v>18</v>
      </c>
      <c r="L111" s="4" t="s">
        <v>19</v>
      </c>
      <c r="M111" s="4" t="s">
        <v>20</v>
      </c>
    </row>
    <row r="112">
      <c r="A112" s="2" t="s">
        <v>141</v>
      </c>
      <c r="B112" s="2">
        <v>39.0</v>
      </c>
      <c r="C112" s="2" t="s">
        <v>14</v>
      </c>
      <c r="D112" s="3">
        <v>105257.0</v>
      </c>
      <c r="E112" s="2" t="s">
        <v>22</v>
      </c>
      <c r="F112" s="2">
        <v>59063.0</v>
      </c>
      <c r="G112" s="2" t="s">
        <v>16</v>
      </c>
      <c r="H112" s="2">
        <v>775.0</v>
      </c>
      <c r="I112" s="2">
        <v>3.0</v>
      </c>
      <c r="J112" s="2" t="s">
        <v>42</v>
      </c>
      <c r="K112" s="2" t="s">
        <v>24</v>
      </c>
      <c r="L112" s="2" t="s">
        <v>19</v>
      </c>
      <c r="M112" s="2" t="s">
        <v>20</v>
      </c>
    </row>
    <row r="113">
      <c r="A113" s="4" t="s">
        <v>142</v>
      </c>
      <c r="B113" s="4">
        <v>44.0</v>
      </c>
      <c r="C113" s="4" t="s">
        <v>14</v>
      </c>
      <c r="D113" s="5">
        <v>74291.0</v>
      </c>
      <c r="E113" s="4" t="s">
        <v>15</v>
      </c>
      <c r="F113" s="4">
        <v>134225.0</v>
      </c>
      <c r="G113" s="4" t="s">
        <v>16</v>
      </c>
      <c r="H113" s="4">
        <v>596.0</v>
      </c>
      <c r="I113" s="4">
        <v>3.0</v>
      </c>
      <c r="J113" s="4" t="s">
        <v>27</v>
      </c>
      <c r="K113" s="4" t="s">
        <v>18</v>
      </c>
      <c r="L113" s="4" t="s">
        <v>19</v>
      </c>
      <c r="M113" s="4" t="s">
        <v>20</v>
      </c>
    </row>
    <row r="114">
      <c r="A114" s="2" t="s">
        <v>143</v>
      </c>
      <c r="B114" s="2">
        <v>52.0</v>
      </c>
      <c r="C114" s="2" t="s">
        <v>31</v>
      </c>
      <c r="D114" s="3">
        <v>137600.0</v>
      </c>
      <c r="E114" s="2" t="s">
        <v>22</v>
      </c>
      <c r="F114" s="2">
        <v>136400.0</v>
      </c>
      <c r="G114" s="2" t="s">
        <v>23</v>
      </c>
      <c r="H114" s="2">
        <v>463.0</v>
      </c>
      <c r="I114" s="2">
        <v>3.0</v>
      </c>
      <c r="J114" s="2" t="s">
        <v>42</v>
      </c>
      <c r="K114" s="2" t="s">
        <v>24</v>
      </c>
      <c r="L114" s="2" t="s">
        <v>19</v>
      </c>
      <c r="M114" s="2" t="s">
        <v>20</v>
      </c>
    </row>
    <row r="115">
      <c r="A115" s="4" t="s">
        <v>144</v>
      </c>
      <c r="B115" s="4">
        <v>18.0</v>
      </c>
      <c r="C115" s="4" t="s">
        <v>14</v>
      </c>
      <c r="D115" s="5">
        <v>60428.0</v>
      </c>
      <c r="E115" s="4" t="s">
        <v>22</v>
      </c>
      <c r="F115" s="4">
        <v>100818.0</v>
      </c>
      <c r="G115" s="4" t="s">
        <v>16</v>
      </c>
      <c r="H115" s="4">
        <v>784.0</v>
      </c>
      <c r="I115" s="4">
        <v>6.0</v>
      </c>
      <c r="J115" s="4" t="s">
        <v>42</v>
      </c>
      <c r="K115" s="4" t="s">
        <v>24</v>
      </c>
      <c r="L115" s="4" t="s">
        <v>28</v>
      </c>
      <c r="M115" s="4" t="s">
        <v>20</v>
      </c>
    </row>
    <row r="116">
      <c r="A116" s="2" t="s">
        <v>145</v>
      </c>
      <c r="B116" s="2">
        <v>52.0</v>
      </c>
      <c r="C116" s="2" t="s">
        <v>14</v>
      </c>
      <c r="D116" s="3">
        <v>141374.0</v>
      </c>
      <c r="E116" s="2" t="s">
        <v>22</v>
      </c>
      <c r="F116" s="2">
        <v>24703.0</v>
      </c>
      <c r="G116" s="2" t="s">
        <v>33</v>
      </c>
      <c r="H116" s="2">
        <v>371.0</v>
      </c>
      <c r="I116" s="2">
        <v>3.0</v>
      </c>
      <c r="J116" s="2" t="s">
        <v>17</v>
      </c>
      <c r="K116" s="2" t="s">
        <v>24</v>
      </c>
      <c r="L116" s="2" t="s">
        <v>19</v>
      </c>
      <c r="M116" s="2" t="s">
        <v>20</v>
      </c>
    </row>
    <row r="117">
      <c r="A117" s="4" t="s">
        <v>146</v>
      </c>
      <c r="B117" s="4">
        <v>54.0</v>
      </c>
      <c r="C117" s="4" t="s">
        <v>14</v>
      </c>
      <c r="D117" s="5">
        <v>141127.0</v>
      </c>
      <c r="E117" s="4" t="s">
        <v>22</v>
      </c>
      <c r="F117" s="4">
        <v>92099.0</v>
      </c>
      <c r="G117" s="4" t="s">
        <v>23</v>
      </c>
      <c r="H117" s="4">
        <v>537.0</v>
      </c>
      <c r="I117" s="4">
        <v>6.0</v>
      </c>
      <c r="J117" s="4" t="s">
        <v>45</v>
      </c>
      <c r="K117" s="4" t="s">
        <v>24</v>
      </c>
      <c r="L117" s="4" t="s">
        <v>19</v>
      </c>
      <c r="M117" s="4" t="s">
        <v>20</v>
      </c>
    </row>
    <row r="118">
      <c r="A118" s="2" t="s">
        <v>147</v>
      </c>
      <c r="B118" s="2">
        <v>31.0</v>
      </c>
      <c r="C118" s="2" t="s">
        <v>14</v>
      </c>
      <c r="D118" s="3">
        <v>121317.0</v>
      </c>
      <c r="E118" s="2" t="s">
        <v>15</v>
      </c>
      <c r="F118" s="2">
        <v>176921.0</v>
      </c>
      <c r="G118" s="2" t="s">
        <v>33</v>
      </c>
      <c r="H118" s="2">
        <v>403.0</v>
      </c>
      <c r="I118" s="2">
        <v>3.0</v>
      </c>
      <c r="J118" s="2" t="s">
        <v>45</v>
      </c>
      <c r="K118" s="2" t="s">
        <v>24</v>
      </c>
      <c r="L118" s="2" t="s">
        <v>19</v>
      </c>
      <c r="M118" s="2" t="s">
        <v>20</v>
      </c>
    </row>
    <row r="119">
      <c r="A119" s="4" t="s">
        <v>148</v>
      </c>
      <c r="B119" s="4">
        <v>20.0</v>
      </c>
      <c r="C119" s="4" t="s">
        <v>14</v>
      </c>
      <c r="D119" s="5">
        <v>149789.0</v>
      </c>
      <c r="E119" s="4" t="s">
        <v>15</v>
      </c>
      <c r="F119" s="4">
        <v>182932.0</v>
      </c>
      <c r="G119" s="4" t="s">
        <v>16</v>
      </c>
      <c r="H119" s="4">
        <v>509.0</v>
      </c>
      <c r="I119" s="4">
        <v>12.0</v>
      </c>
      <c r="J119" s="4" t="s">
        <v>17</v>
      </c>
      <c r="K119" s="4" t="s">
        <v>18</v>
      </c>
      <c r="L119" s="4" t="s">
        <v>19</v>
      </c>
      <c r="M119" s="4" t="s">
        <v>20</v>
      </c>
    </row>
    <row r="120">
      <c r="A120" s="2" t="s">
        <v>149</v>
      </c>
      <c r="B120" s="2">
        <v>18.0</v>
      </c>
      <c r="C120" s="2" t="s">
        <v>31</v>
      </c>
      <c r="D120" s="3">
        <v>137449.0</v>
      </c>
      <c r="E120" s="2" t="s">
        <v>22</v>
      </c>
      <c r="F120" s="2">
        <v>51585.0</v>
      </c>
      <c r="G120" s="2" t="s">
        <v>33</v>
      </c>
      <c r="H120" s="2">
        <v>767.0</v>
      </c>
      <c r="I120" s="2">
        <v>12.0</v>
      </c>
      <c r="J120" s="2" t="s">
        <v>42</v>
      </c>
      <c r="K120" s="2" t="s">
        <v>24</v>
      </c>
      <c r="L120" s="2" t="s">
        <v>19</v>
      </c>
      <c r="M120" s="2" t="s">
        <v>20</v>
      </c>
    </row>
    <row r="121">
      <c r="A121" s="4" t="s">
        <v>150</v>
      </c>
      <c r="B121" s="4">
        <v>22.0</v>
      </c>
      <c r="C121" s="4" t="s">
        <v>31</v>
      </c>
      <c r="D121" s="5">
        <v>38699.0</v>
      </c>
      <c r="E121" s="4" t="s">
        <v>22</v>
      </c>
      <c r="F121" s="4">
        <v>173087.0</v>
      </c>
      <c r="G121" s="4" t="s">
        <v>33</v>
      </c>
      <c r="H121" s="4">
        <v>753.0</v>
      </c>
      <c r="I121" s="4">
        <v>12.0</v>
      </c>
      <c r="J121" s="4" t="s">
        <v>27</v>
      </c>
      <c r="K121" s="4" t="s">
        <v>24</v>
      </c>
      <c r="L121" s="4" t="s">
        <v>28</v>
      </c>
      <c r="M121" s="4" t="s">
        <v>20</v>
      </c>
    </row>
    <row r="122">
      <c r="A122" s="2" t="s">
        <v>151</v>
      </c>
      <c r="B122" s="2">
        <v>43.0</v>
      </c>
      <c r="C122" s="2" t="s">
        <v>31</v>
      </c>
      <c r="D122" s="3">
        <v>83686.0</v>
      </c>
      <c r="E122" s="2" t="s">
        <v>22</v>
      </c>
      <c r="F122" s="2">
        <v>63585.0</v>
      </c>
      <c r="G122" s="2" t="s">
        <v>16</v>
      </c>
      <c r="H122" s="2">
        <v>567.0</v>
      </c>
      <c r="I122" s="2">
        <v>12.0</v>
      </c>
      <c r="J122" s="2" t="s">
        <v>42</v>
      </c>
      <c r="K122" s="2" t="s">
        <v>18</v>
      </c>
      <c r="L122" s="2" t="s">
        <v>19</v>
      </c>
      <c r="M122" s="2" t="s">
        <v>20</v>
      </c>
    </row>
    <row r="123">
      <c r="A123" s="4" t="s">
        <v>152</v>
      </c>
      <c r="B123" s="4">
        <v>31.0</v>
      </c>
      <c r="C123" s="4" t="s">
        <v>14</v>
      </c>
      <c r="D123" s="5">
        <v>77661.0</v>
      </c>
      <c r="E123" s="4" t="s">
        <v>22</v>
      </c>
      <c r="F123" s="4">
        <v>46958.0</v>
      </c>
      <c r="G123" s="4" t="s">
        <v>23</v>
      </c>
      <c r="H123" s="4">
        <v>685.0</v>
      </c>
      <c r="I123" s="4">
        <v>6.0</v>
      </c>
      <c r="J123" s="4" t="s">
        <v>42</v>
      </c>
      <c r="K123" s="4" t="s">
        <v>24</v>
      </c>
      <c r="L123" s="4" t="s">
        <v>19</v>
      </c>
      <c r="M123" s="4" t="s">
        <v>20</v>
      </c>
    </row>
    <row r="124">
      <c r="A124" s="2" t="s">
        <v>153</v>
      </c>
      <c r="B124" s="2">
        <v>56.0</v>
      </c>
      <c r="C124" s="2" t="s">
        <v>14</v>
      </c>
      <c r="D124" s="3">
        <v>54247.0</v>
      </c>
      <c r="E124" s="2" t="s">
        <v>26</v>
      </c>
      <c r="F124" s="2">
        <v>46017.0</v>
      </c>
      <c r="G124" s="2" t="s">
        <v>33</v>
      </c>
      <c r="H124" s="2">
        <v>686.0</v>
      </c>
      <c r="I124" s="2">
        <v>6.0</v>
      </c>
      <c r="J124" s="2" t="s">
        <v>27</v>
      </c>
      <c r="K124" s="2" t="s">
        <v>24</v>
      </c>
      <c r="L124" s="2" t="s">
        <v>28</v>
      </c>
      <c r="M124" s="2" t="s">
        <v>20</v>
      </c>
    </row>
    <row r="125">
      <c r="A125" s="4" t="s">
        <v>154</v>
      </c>
      <c r="B125" s="4">
        <v>44.0</v>
      </c>
      <c r="C125" s="4" t="s">
        <v>31</v>
      </c>
      <c r="D125" s="5">
        <v>115113.0</v>
      </c>
      <c r="E125" s="4" t="s">
        <v>22</v>
      </c>
      <c r="F125" s="4">
        <v>144677.0</v>
      </c>
      <c r="G125" s="4" t="s">
        <v>16</v>
      </c>
      <c r="H125" s="4">
        <v>558.0</v>
      </c>
      <c r="I125" s="4">
        <v>24.0</v>
      </c>
      <c r="J125" s="4" t="s">
        <v>17</v>
      </c>
      <c r="K125" s="4" t="s">
        <v>18</v>
      </c>
      <c r="L125" s="4" t="s">
        <v>19</v>
      </c>
      <c r="M125" s="4" t="s">
        <v>20</v>
      </c>
    </row>
    <row r="126">
      <c r="A126" s="2" t="s">
        <v>155</v>
      </c>
      <c r="B126" s="2">
        <v>26.0</v>
      </c>
      <c r="C126" s="2" t="s">
        <v>14</v>
      </c>
      <c r="D126" s="3">
        <v>14621.0</v>
      </c>
      <c r="E126" s="2" t="s">
        <v>22</v>
      </c>
      <c r="F126" s="2">
        <v>196422.0</v>
      </c>
      <c r="G126" s="2" t="s">
        <v>23</v>
      </c>
      <c r="H126" s="2">
        <v>582.0</v>
      </c>
      <c r="I126" s="2">
        <v>3.0</v>
      </c>
      <c r="J126" s="2" t="s">
        <v>45</v>
      </c>
      <c r="K126" s="2" t="s">
        <v>18</v>
      </c>
      <c r="L126" s="2" t="s">
        <v>34</v>
      </c>
      <c r="M126" s="2" t="s">
        <v>20</v>
      </c>
    </row>
    <row r="127">
      <c r="A127" s="4" t="s">
        <v>156</v>
      </c>
      <c r="B127" s="4">
        <v>32.0</v>
      </c>
      <c r="C127" s="4" t="s">
        <v>31</v>
      </c>
      <c r="D127" s="5">
        <v>146198.0</v>
      </c>
      <c r="E127" s="4" t="s">
        <v>22</v>
      </c>
      <c r="F127" s="4">
        <v>163273.0</v>
      </c>
      <c r="G127" s="4" t="s">
        <v>16</v>
      </c>
      <c r="H127" s="4">
        <v>339.0</v>
      </c>
      <c r="I127" s="4">
        <v>12.0</v>
      </c>
      <c r="J127" s="4" t="s">
        <v>17</v>
      </c>
      <c r="K127" s="4" t="s">
        <v>18</v>
      </c>
      <c r="L127" s="4" t="s">
        <v>19</v>
      </c>
      <c r="M127" s="4" t="s">
        <v>20</v>
      </c>
    </row>
    <row r="128">
      <c r="A128" s="2" t="s">
        <v>157</v>
      </c>
      <c r="B128" s="2">
        <v>32.0</v>
      </c>
      <c r="C128" s="2" t="s">
        <v>31</v>
      </c>
      <c r="D128" s="3">
        <v>146194.0</v>
      </c>
      <c r="E128" s="2" t="s">
        <v>26</v>
      </c>
      <c r="F128" s="2">
        <v>49426.0</v>
      </c>
      <c r="G128" s="2" t="s">
        <v>16</v>
      </c>
      <c r="H128" s="2">
        <v>785.0</v>
      </c>
      <c r="I128" s="2">
        <v>6.0</v>
      </c>
      <c r="J128" s="2" t="s">
        <v>17</v>
      </c>
      <c r="K128" s="2" t="s">
        <v>18</v>
      </c>
      <c r="L128" s="2" t="s">
        <v>19</v>
      </c>
      <c r="M128" s="2" t="s">
        <v>20</v>
      </c>
    </row>
    <row r="129">
      <c r="A129" s="4" t="s">
        <v>158</v>
      </c>
      <c r="B129" s="4">
        <v>43.0</v>
      </c>
      <c r="C129" s="4" t="s">
        <v>31</v>
      </c>
      <c r="D129" s="5">
        <v>28030.0</v>
      </c>
      <c r="E129" s="4" t="s">
        <v>26</v>
      </c>
      <c r="F129" s="4">
        <v>37778.0</v>
      </c>
      <c r="G129" s="4" t="s">
        <v>16</v>
      </c>
      <c r="H129" s="4">
        <v>519.0</v>
      </c>
      <c r="I129" s="4">
        <v>3.0</v>
      </c>
      <c r="J129" s="4" t="s">
        <v>42</v>
      </c>
      <c r="K129" s="4" t="s">
        <v>18</v>
      </c>
      <c r="L129" s="4" t="s">
        <v>34</v>
      </c>
      <c r="M129" s="4" t="s">
        <v>20</v>
      </c>
    </row>
    <row r="130">
      <c r="A130" s="2" t="s">
        <v>159</v>
      </c>
      <c r="B130" s="2">
        <v>59.0</v>
      </c>
      <c r="C130" s="2" t="s">
        <v>14</v>
      </c>
      <c r="D130" s="3">
        <v>92838.0</v>
      </c>
      <c r="E130" s="2" t="s">
        <v>15</v>
      </c>
      <c r="F130" s="2">
        <v>196313.0</v>
      </c>
      <c r="G130" s="2" t="s">
        <v>16</v>
      </c>
      <c r="H130" s="2">
        <v>428.0</v>
      </c>
      <c r="I130" s="2">
        <v>3.0</v>
      </c>
      <c r="J130" s="2" t="s">
        <v>45</v>
      </c>
      <c r="K130" s="2" t="s">
        <v>18</v>
      </c>
      <c r="L130" s="2" t="s">
        <v>19</v>
      </c>
      <c r="M130" s="2" t="s">
        <v>20</v>
      </c>
    </row>
    <row r="131">
      <c r="A131" s="4" t="s">
        <v>160</v>
      </c>
      <c r="B131" s="4">
        <v>30.0</v>
      </c>
      <c r="C131" s="4" t="s">
        <v>14</v>
      </c>
      <c r="D131" s="5">
        <v>94717.0</v>
      </c>
      <c r="E131" s="4" t="s">
        <v>15</v>
      </c>
      <c r="F131" s="4">
        <v>62229.0</v>
      </c>
      <c r="G131" s="4" t="s">
        <v>16</v>
      </c>
      <c r="H131" s="4">
        <v>819.0</v>
      </c>
      <c r="I131" s="4">
        <v>6.0</v>
      </c>
      <c r="J131" s="4" t="s">
        <v>45</v>
      </c>
      <c r="K131" s="4" t="s">
        <v>24</v>
      </c>
      <c r="L131" s="4" t="s">
        <v>19</v>
      </c>
      <c r="M131" s="4" t="s">
        <v>20</v>
      </c>
    </row>
    <row r="132">
      <c r="A132" s="2" t="s">
        <v>161</v>
      </c>
      <c r="B132" s="2">
        <v>49.0</v>
      </c>
      <c r="C132" s="2" t="s">
        <v>31</v>
      </c>
      <c r="D132" s="3">
        <v>48638.0</v>
      </c>
      <c r="E132" s="2" t="s">
        <v>15</v>
      </c>
      <c r="F132" s="2">
        <v>106652.0</v>
      </c>
      <c r="G132" s="2" t="s">
        <v>16</v>
      </c>
      <c r="H132" s="2">
        <v>559.0</v>
      </c>
      <c r="I132" s="2">
        <v>12.0</v>
      </c>
      <c r="J132" s="2" t="s">
        <v>17</v>
      </c>
      <c r="K132" s="2" t="s">
        <v>18</v>
      </c>
      <c r="L132" s="2" t="s">
        <v>28</v>
      </c>
      <c r="M132" s="2" t="s">
        <v>20</v>
      </c>
    </row>
    <row r="133">
      <c r="A133" s="4" t="s">
        <v>162</v>
      </c>
      <c r="B133" s="4">
        <v>56.0</v>
      </c>
      <c r="C133" s="4" t="s">
        <v>31</v>
      </c>
      <c r="D133" s="5">
        <v>77067.0</v>
      </c>
      <c r="E133" s="4" t="s">
        <v>22</v>
      </c>
      <c r="F133" s="4">
        <v>148267.0</v>
      </c>
      <c r="G133" s="4" t="s">
        <v>33</v>
      </c>
      <c r="H133" s="4">
        <v>665.0</v>
      </c>
      <c r="I133" s="4">
        <v>24.0</v>
      </c>
      <c r="J133" s="4" t="s">
        <v>27</v>
      </c>
      <c r="K133" s="4" t="s">
        <v>24</v>
      </c>
      <c r="L133" s="4" t="s">
        <v>19</v>
      </c>
      <c r="M133" s="4" t="s">
        <v>20</v>
      </c>
    </row>
    <row r="134">
      <c r="A134" s="2" t="s">
        <v>163</v>
      </c>
      <c r="B134" s="2">
        <v>49.0</v>
      </c>
      <c r="C134" s="2" t="s">
        <v>31</v>
      </c>
      <c r="D134" s="3">
        <v>128033.0</v>
      </c>
      <c r="E134" s="2" t="s">
        <v>26</v>
      </c>
      <c r="F134" s="2">
        <v>199436.0</v>
      </c>
      <c r="G134" s="2" t="s">
        <v>23</v>
      </c>
      <c r="H134" s="2">
        <v>843.0</v>
      </c>
      <c r="I134" s="2">
        <v>3.0</v>
      </c>
      <c r="J134" s="2" t="s">
        <v>17</v>
      </c>
      <c r="K134" s="2" t="s">
        <v>24</v>
      </c>
      <c r="L134" s="2" t="s">
        <v>19</v>
      </c>
      <c r="M134" s="2" t="s">
        <v>20</v>
      </c>
    </row>
    <row r="135">
      <c r="A135" s="4" t="s">
        <v>164</v>
      </c>
      <c r="B135" s="4">
        <v>21.0</v>
      </c>
      <c r="C135" s="4" t="s">
        <v>31</v>
      </c>
      <c r="D135" s="5">
        <v>115977.0</v>
      </c>
      <c r="E135" s="4" t="s">
        <v>15</v>
      </c>
      <c r="F135" s="4">
        <v>146503.0</v>
      </c>
      <c r="G135" s="4" t="s">
        <v>33</v>
      </c>
      <c r="H135" s="4">
        <v>823.0</v>
      </c>
      <c r="I135" s="4">
        <v>24.0</v>
      </c>
      <c r="J135" s="4" t="s">
        <v>27</v>
      </c>
      <c r="K135" s="4" t="s">
        <v>24</v>
      </c>
      <c r="L135" s="4" t="s">
        <v>19</v>
      </c>
      <c r="M135" s="4" t="s">
        <v>20</v>
      </c>
    </row>
    <row r="136">
      <c r="A136" s="2" t="s">
        <v>165</v>
      </c>
      <c r="B136" s="2">
        <v>47.0</v>
      </c>
      <c r="C136" s="2" t="s">
        <v>14</v>
      </c>
      <c r="D136" s="3">
        <v>98869.0</v>
      </c>
      <c r="E136" s="2" t="s">
        <v>15</v>
      </c>
      <c r="F136" s="2">
        <v>104878.0</v>
      </c>
      <c r="G136" s="2" t="s">
        <v>16</v>
      </c>
      <c r="H136" s="2">
        <v>315.0</v>
      </c>
      <c r="I136" s="2">
        <v>12.0</v>
      </c>
      <c r="J136" s="2" t="s">
        <v>45</v>
      </c>
      <c r="K136" s="2" t="s">
        <v>18</v>
      </c>
      <c r="L136" s="2" t="s">
        <v>19</v>
      </c>
      <c r="M136" s="2" t="s">
        <v>20</v>
      </c>
    </row>
    <row r="137">
      <c r="A137" s="4" t="s">
        <v>166</v>
      </c>
      <c r="B137" s="4">
        <v>54.0</v>
      </c>
      <c r="C137" s="4" t="s">
        <v>14</v>
      </c>
      <c r="D137" s="5">
        <v>115186.0</v>
      </c>
      <c r="E137" s="4" t="s">
        <v>15</v>
      </c>
      <c r="F137" s="4">
        <v>77056.0</v>
      </c>
      <c r="G137" s="4" t="s">
        <v>16</v>
      </c>
      <c r="H137" s="4">
        <v>428.0</v>
      </c>
      <c r="I137" s="4">
        <v>12.0</v>
      </c>
      <c r="J137" s="4" t="s">
        <v>17</v>
      </c>
      <c r="K137" s="4" t="s">
        <v>18</v>
      </c>
      <c r="L137" s="4" t="s">
        <v>19</v>
      </c>
      <c r="M137" s="4" t="s">
        <v>20</v>
      </c>
    </row>
    <row r="138">
      <c r="A138" s="2" t="s">
        <v>167</v>
      </c>
      <c r="B138" s="2">
        <v>40.0</v>
      </c>
      <c r="C138" s="2" t="s">
        <v>31</v>
      </c>
      <c r="D138" s="3">
        <v>44674.0</v>
      </c>
      <c r="E138" s="2" t="s">
        <v>15</v>
      </c>
      <c r="F138" s="2">
        <v>178562.0</v>
      </c>
      <c r="G138" s="2" t="s">
        <v>23</v>
      </c>
      <c r="H138" s="2">
        <v>408.0</v>
      </c>
      <c r="I138" s="2">
        <v>24.0</v>
      </c>
      <c r="J138" s="2" t="s">
        <v>42</v>
      </c>
      <c r="K138" s="2" t="s">
        <v>24</v>
      </c>
      <c r="L138" s="2" t="s">
        <v>28</v>
      </c>
      <c r="M138" s="2" t="s">
        <v>20</v>
      </c>
    </row>
    <row r="139">
      <c r="A139" s="4" t="s">
        <v>168</v>
      </c>
      <c r="B139" s="4">
        <v>56.0</v>
      </c>
      <c r="C139" s="4" t="s">
        <v>31</v>
      </c>
      <c r="D139" s="5">
        <v>56271.0</v>
      </c>
      <c r="E139" s="4" t="s">
        <v>15</v>
      </c>
      <c r="F139" s="4">
        <v>39975.0</v>
      </c>
      <c r="G139" s="4" t="s">
        <v>16</v>
      </c>
      <c r="H139" s="4">
        <v>832.0</v>
      </c>
      <c r="I139" s="4">
        <v>12.0</v>
      </c>
      <c r="J139" s="4" t="s">
        <v>17</v>
      </c>
      <c r="K139" s="4" t="s">
        <v>24</v>
      </c>
      <c r="L139" s="4" t="s">
        <v>28</v>
      </c>
      <c r="M139" s="4" t="s">
        <v>20</v>
      </c>
    </row>
    <row r="140">
      <c r="A140" s="2" t="s">
        <v>169</v>
      </c>
      <c r="B140" s="2">
        <v>32.0</v>
      </c>
      <c r="C140" s="2" t="s">
        <v>14</v>
      </c>
      <c r="D140" s="3">
        <v>83688.0</v>
      </c>
      <c r="E140" s="2" t="s">
        <v>26</v>
      </c>
      <c r="F140" s="2">
        <v>177795.0</v>
      </c>
      <c r="G140" s="2" t="s">
        <v>16</v>
      </c>
      <c r="H140" s="2">
        <v>568.0</v>
      </c>
      <c r="I140" s="2">
        <v>3.0</v>
      </c>
      <c r="J140" s="2" t="s">
        <v>45</v>
      </c>
      <c r="K140" s="2" t="s">
        <v>18</v>
      </c>
      <c r="L140" s="2" t="s">
        <v>19</v>
      </c>
      <c r="M140" s="2" t="s">
        <v>20</v>
      </c>
    </row>
    <row r="141">
      <c r="A141" s="4" t="s">
        <v>170</v>
      </c>
      <c r="B141" s="4">
        <v>46.0</v>
      </c>
      <c r="C141" s="4" t="s">
        <v>14</v>
      </c>
      <c r="D141" s="5">
        <v>121076.0</v>
      </c>
      <c r="E141" s="4" t="s">
        <v>26</v>
      </c>
      <c r="F141" s="4">
        <v>174351.0</v>
      </c>
      <c r="G141" s="4" t="s">
        <v>23</v>
      </c>
      <c r="H141" s="4">
        <v>461.0</v>
      </c>
      <c r="I141" s="4">
        <v>24.0</v>
      </c>
      <c r="J141" s="4" t="s">
        <v>42</v>
      </c>
      <c r="K141" s="4" t="s">
        <v>18</v>
      </c>
      <c r="L141" s="4" t="s">
        <v>19</v>
      </c>
      <c r="M141" s="4" t="s">
        <v>20</v>
      </c>
    </row>
    <row r="142">
      <c r="A142" s="2" t="s">
        <v>171</v>
      </c>
      <c r="B142" s="2">
        <v>53.0</v>
      </c>
      <c r="C142" s="2" t="s">
        <v>31</v>
      </c>
      <c r="D142" s="3">
        <v>11062.0</v>
      </c>
      <c r="E142" s="2" t="s">
        <v>15</v>
      </c>
      <c r="F142" s="2">
        <v>162633.0</v>
      </c>
      <c r="G142" s="2" t="s">
        <v>16</v>
      </c>
      <c r="H142" s="2">
        <v>559.0</v>
      </c>
      <c r="I142" s="2">
        <v>12.0</v>
      </c>
      <c r="J142" s="2" t="s">
        <v>42</v>
      </c>
      <c r="K142" s="2" t="s">
        <v>18</v>
      </c>
      <c r="L142" s="2" t="s">
        <v>34</v>
      </c>
      <c r="M142" s="2" t="s">
        <v>20</v>
      </c>
    </row>
    <row r="143">
      <c r="A143" s="4" t="s">
        <v>172</v>
      </c>
      <c r="B143" s="4">
        <v>30.0</v>
      </c>
      <c r="C143" s="4" t="s">
        <v>31</v>
      </c>
      <c r="D143" s="5">
        <v>60448.0</v>
      </c>
      <c r="E143" s="4" t="s">
        <v>15</v>
      </c>
      <c r="F143" s="4">
        <v>108397.0</v>
      </c>
      <c r="G143" s="4" t="s">
        <v>23</v>
      </c>
      <c r="H143" s="4">
        <v>401.0</v>
      </c>
      <c r="I143" s="4">
        <v>24.0</v>
      </c>
      <c r="J143" s="4" t="s">
        <v>27</v>
      </c>
      <c r="K143" s="4" t="s">
        <v>24</v>
      </c>
      <c r="L143" s="4" t="s">
        <v>28</v>
      </c>
      <c r="M143" s="4" t="s">
        <v>20</v>
      </c>
    </row>
    <row r="144">
      <c r="A144" s="2" t="s">
        <v>173</v>
      </c>
      <c r="B144" s="2">
        <v>49.0</v>
      </c>
      <c r="C144" s="2" t="s">
        <v>31</v>
      </c>
      <c r="D144" s="3">
        <v>105462.0</v>
      </c>
      <c r="E144" s="2" t="s">
        <v>22</v>
      </c>
      <c r="F144" s="2">
        <v>53142.0</v>
      </c>
      <c r="G144" s="2" t="s">
        <v>23</v>
      </c>
      <c r="H144" s="2">
        <v>805.0</v>
      </c>
      <c r="I144" s="2">
        <v>3.0</v>
      </c>
      <c r="J144" s="2" t="s">
        <v>42</v>
      </c>
      <c r="K144" s="2" t="s">
        <v>24</v>
      </c>
      <c r="L144" s="2" t="s">
        <v>19</v>
      </c>
      <c r="M144" s="2" t="s">
        <v>20</v>
      </c>
    </row>
    <row r="145">
      <c r="A145" s="4" t="s">
        <v>174</v>
      </c>
      <c r="B145" s="4">
        <v>24.0</v>
      </c>
      <c r="C145" s="4" t="s">
        <v>14</v>
      </c>
      <c r="D145" s="5">
        <v>147301.0</v>
      </c>
      <c r="E145" s="4" t="s">
        <v>15</v>
      </c>
      <c r="F145" s="4">
        <v>46916.0</v>
      </c>
      <c r="G145" s="4" t="s">
        <v>16</v>
      </c>
      <c r="H145" s="4">
        <v>546.0</v>
      </c>
      <c r="I145" s="4">
        <v>12.0</v>
      </c>
      <c r="J145" s="4" t="s">
        <v>42</v>
      </c>
      <c r="K145" s="4" t="s">
        <v>18</v>
      </c>
      <c r="L145" s="4" t="s">
        <v>19</v>
      </c>
      <c r="M145" s="4" t="s">
        <v>20</v>
      </c>
    </row>
    <row r="146">
      <c r="A146" s="2" t="s">
        <v>175</v>
      </c>
      <c r="B146" s="2">
        <v>39.0</v>
      </c>
      <c r="C146" s="2" t="s">
        <v>14</v>
      </c>
      <c r="D146" s="3">
        <v>57915.0</v>
      </c>
      <c r="E146" s="2" t="s">
        <v>22</v>
      </c>
      <c r="F146" s="2">
        <v>84324.0</v>
      </c>
      <c r="G146" s="2" t="s">
        <v>16</v>
      </c>
      <c r="H146" s="2">
        <v>836.0</v>
      </c>
      <c r="I146" s="2">
        <v>3.0</v>
      </c>
      <c r="J146" s="2" t="s">
        <v>17</v>
      </c>
      <c r="K146" s="2" t="s">
        <v>24</v>
      </c>
      <c r="L146" s="2" t="s">
        <v>28</v>
      </c>
      <c r="M146" s="2" t="s">
        <v>20</v>
      </c>
    </row>
    <row r="147">
      <c r="A147" s="4" t="s">
        <v>176</v>
      </c>
      <c r="B147" s="4">
        <v>45.0</v>
      </c>
      <c r="C147" s="4" t="s">
        <v>14</v>
      </c>
      <c r="D147" s="5">
        <v>14632.0</v>
      </c>
      <c r="E147" s="4" t="s">
        <v>15</v>
      </c>
      <c r="F147" s="4">
        <v>196037.0</v>
      </c>
      <c r="G147" s="4" t="s">
        <v>33</v>
      </c>
      <c r="H147" s="4">
        <v>430.0</v>
      </c>
      <c r="I147" s="4">
        <v>12.0</v>
      </c>
      <c r="J147" s="4" t="s">
        <v>45</v>
      </c>
      <c r="K147" s="4" t="s">
        <v>18</v>
      </c>
      <c r="L147" s="4" t="s">
        <v>34</v>
      </c>
      <c r="M147" s="4" t="s">
        <v>20</v>
      </c>
    </row>
    <row r="148">
      <c r="A148" s="2" t="s">
        <v>177</v>
      </c>
      <c r="B148" s="2">
        <v>19.0</v>
      </c>
      <c r="C148" s="2" t="s">
        <v>31</v>
      </c>
      <c r="D148" s="3">
        <v>114592.0</v>
      </c>
      <c r="E148" s="2" t="s">
        <v>26</v>
      </c>
      <c r="F148" s="2">
        <v>145932.0</v>
      </c>
      <c r="G148" s="2" t="s">
        <v>16</v>
      </c>
      <c r="H148" s="2">
        <v>652.0</v>
      </c>
      <c r="I148" s="2">
        <v>6.0</v>
      </c>
      <c r="J148" s="2" t="s">
        <v>27</v>
      </c>
      <c r="K148" s="2" t="s">
        <v>18</v>
      </c>
      <c r="L148" s="2" t="s">
        <v>19</v>
      </c>
      <c r="M148" s="2" t="s">
        <v>20</v>
      </c>
    </row>
    <row r="149">
      <c r="A149" s="4" t="s">
        <v>178</v>
      </c>
      <c r="B149" s="4">
        <v>59.0</v>
      </c>
      <c r="C149" s="4" t="s">
        <v>31</v>
      </c>
      <c r="D149" s="5">
        <v>144668.0</v>
      </c>
      <c r="E149" s="4" t="s">
        <v>15</v>
      </c>
      <c r="F149" s="4">
        <v>155720.0</v>
      </c>
      <c r="G149" s="4" t="s">
        <v>16</v>
      </c>
      <c r="H149" s="4">
        <v>495.0</v>
      </c>
      <c r="I149" s="4">
        <v>12.0</v>
      </c>
      <c r="J149" s="4" t="s">
        <v>17</v>
      </c>
      <c r="K149" s="4" t="s">
        <v>18</v>
      </c>
      <c r="L149" s="4" t="s">
        <v>19</v>
      </c>
      <c r="M149" s="4" t="s">
        <v>20</v>
      </c>
    </row>
    <row r="150">
      <c r="A150" s="2" t="s">
        <v>179</v>
      </c>
      <c r="B150" s="2">
        <v>23.0</v>
      </c>
      <c r="C150" s="2" t="s">
        <v>14</v>
      </c>
      <c r="D150" s="3">
        <v>119779.0</v>
      </c>
      <c r="E150" s="2" t="s">
        <v>22</v>
      </c>
      <c r="F150" s="2">
        <v>186205.0</v>
      </c>
      <c r="G150" s="2" t="s">
        <v>33</v>
      </c>
      <c r="H150" s="2">
        <v>681.0</v>
      </c>
      <c r="I150" s="2">
        <v>24.0</v>
      </c>
      <c r="J150" s="2" t="s">
        <v>42</v>
      </c>
      <c r="K150" s="2" t="s">
        <v>24</v>
      </c>
      <c r="L150" s="2" t="s">
        <v>19</v>
      </c>
      <c r="M150" s="2" t="s">
        <v>20</v>
      </c>
    </row>
    <row r="151">
      <c r="A151" s="4" t="s">
        <v>180</v>
      </c>
      <c r="B151" s="4">
        <v>45.0</v>
      </c>
      <c r="C151" s="4" t="s">
        <v>14</v>
      </c>
      <c r="D151" s="5">
        <v>147240.0</v>
      </c>
      <c r="E151" s="4" t="s">
        <v>22</v>
      </c>
      <c r="F151" s="4">
        <v>116059.0</v>
      </c>
      <c r="G151" s="4" t="s">
        <v>16</v>
      </c>
      <c r="H151" s="4">
        <v>526.0</v>
      </c>
      <c r="I151" s="4">
        <v>12.0</v>
      </c>
      <c r="J151" s="4" t="s">
        <v>42</v>
      </c>
      <c r="K151" s="4" t="s">
        <v>18</v>
      </c>
      <c r="L151" s="4" t="s">
        <v>19</v>
      </c>
      <c r="M151" s="4" t="s">
        <v>20</v>
      </c>
    </row>
    <row r="152">
      <c r="A152" s="2" t="s">
        <v>181</v>
      </c>
      <c r="B152" s="2">
        <v>45.0</v>
      </c>
      <c r="C152" s="2" t="s">
        <v>31</v>
      </c>
      <c r="D152" s="3">
        <v>118099.0</v>
      </c>
      <c r="E152" s="2" t="s">
        <v>22</v>
      </c>
      <c r="F152" s="2">
        <v>118317.0</v>
      </c>
      <c r="G152" s="2" t="s">
        <v>23</v>
      </c>
      <c r="H152" s="2">
        <v>775.0</v>
      </c>
      <c r="I152" s="2">
        <v>3.0</v>
      </c>
      <c r="J152" s="2" t="s">
        <v>27</v>
      </c>
      <c r="K152" s="2" t="s">
        <v>24</v>
      </c>
      <c r="L152" s="2" t="s">
        <v>19</v>
      </c>
      <c r="M152" s="2" t="s">
        <v>20</v>
      </c>
    </row>
    <row r="153">
      <c r="A153" s="4" t="s">
        <v>182</v>
      </c>
      <c r="B153" s="4">
        <v>37.0</v>
      </c>
      <c r="C153" s="4" t="s">
        <v>14</v>
      </c>
      <c r="D153" s="5">
        <v>17561.0</v>
      </c>
      <c r="E153" s="4" t="s">
        <v>15</v>
      </c>
      <c r="F153" s="4">
        <v>55046.0</v>
      </c>
      <c r="G153" s="4" t="s">
        <v>33</v>
      </c>
      <c r="H153" s="4">
        <v>776.0</v>
      </c>
      <c r="I153" s="4">
        <v>3.0</v>
      </c>
      <c r="J153" s="4" t="s">
        <v>45</v>
      </c>
      <c r="K153" s="4" t="s">
        <v>24</v>
      </c>
      <c r="L153" s="4" t="s">
        <v>34</v>
      </c>
      <c r="M153" s="4" t="s">
        <v>20</v>
      </c>
    </row>
    <row r="154">
      <c r="A154" s="2" t="s">
        <v>183</v>
      </c>
      <c r="B154" s="2">
        <v>47.0</v>
      </c>
      <c r="C154" s="2" t="s">
        <v>14</v>
      </c>
      <c r="D154" s="3">
        <v>92152.0</v>
      </c>
      <c r="E154" s="2" t="s">
        <v>22</v>
      </c>
      <c r="F154" s="2">
        <v>198136.0</v>
      </c>
      <c r="G154" s="2" t="s">
        <v>16</v>
      </c>
      <c r="H154" s="2">
        <v>564.0</v>
      </c>
      <c r="I154" s="2">
        <v>12.0</v>
      </c>
      <c r="J154" s="2" t="s">
        <v>27</v>
      </c>
      <c r="K154" s="2" t="s">
        <v>18</v>
      </c>
      <c r="L154" s="2" t="s">
        <v>19</v>
      </c>
      <c r="M154" s="2" t="s">
        <v>20</v>
      </c>
    </row>
    <row r="155">
      <c r="A155" s="4" t="s">
        <v>184</v>
      </c>
      <c r="B155" s="4">
        <v>28.0</v>
      </c>
      <c r="C155" s="4" t="s">
        <v>31</v>
      </c>
      <c r="D155" s="5">
        <v>135036.0</v>
      </c>
      <c r="E155" s="4" t="s">
        <v>22</v>
      </c>
      <c r="F155" s="4">
        <v>121459.0</v>
      </c>
      <c r="G155" s="4" t="s">
        <v>16</v>
      </c>
      <c r="H155" s="4">
        <v>671.0</v>
      </c>
      <c r="I155" s="4">
        <v>24.0</v>
      </c>
      <c r="J155" s="4" t="s">
        <v>17</v>
      </c>
      <c r="K155" s="4" t="s">
        <v>24</v>
      </c>
      <c r="L155" s="4" t="s">
        <v>19</v>
      </c>
      <c r="M155" s="4" t="s">
        <v>20</v>
      </c>
    </row>
    <row r="156">
      <c r="A156" s="2" t="s">
        <v>185</v>
      </c>
      <c r="B156" s="2">
        <v>45.0</v>
      </c>
      <c r="C156" s="2" t="s">
        <v>14</v>
      </c>
      <c r="D156" s="3">
        <v>134049.0</v>
      </c>
      <c r="E156" s="2" t="s">
        <v>22</v>
      </c>
      <c r="F156" s="2">
        <v>65893.0</v>
      </c>
      <c r="G156" s="2" t="s">
        <v>16</v>
      </c>
      <c r="H156" s="2">
        <v>785.0</v>
      </c>
      <c r="I156" s="2">
        <v>6.0</v>
      </c>
      <c r="J156" s="2" t="s">
        <v>27</v>
      </c>
      <c r="K156" s="2" t="s">
        <v>24</v>
      </c>
      <c r="L156" s="2" t="s">
        <v>19</v>
      </c>
      <c r="M156" s="2" t="s">
        <v>20</v>
      </c>
    </row>
    <row r="157">
      <c r="A157" s="4" t="s">
        <v>186</v>
      </c>
      <c r="B157" s="4">
        <v>42.0</v>
      </c>
      <c r="C157" s="4" t="s">
        <v>31</v>
      </c>
      <c r="D157" s="5">
        <v>36734.0</v>
      </c>
      <c r="E157" s="4" t="s">
        <v>15</v>
      </c>
      <c r="F157" s="4">
        <v>121520.0</v>
      </c>
      <c r="G157" s="4" t="s">
        <v>16</v>
      </c>
      <c r="H157" s="4">
        <v>733.0</v>
      </c>
      <c r="I157" s="4">
        <v>24.0</v>
      </c>
      <c r="J157" s="4" t="s">
        <v>42</v>
      </c>
      <c r="K157" s="4" t="s">
        <v>24</v>
      </c>
      <c r="L157" s="4" t="s">
        <v>28</v>
      </c>
      <c r="M157" s="4" t="s">
        <v>20</v>
      </c>
    </row>
    <row r="158">
      <c r="A158" s="2" t="s">
        <v>187</v>
      </c>
      <c r="B158" s="2">
        <v>56.0</v>
      </c>
      <c r="C158" s="2" t="s">
        <v>31</v>
      </c>
      <c r="D158" s="3">
        <v>147443.0</v>
      </c>
      <c r="E158" s="2" t="s">
        <v>15</v>
      </c>
      <c r="F158" s="2">
        <v>145818.0</v>
      </c>
      <c r="G158" s="2" t="s">
        <v>16</v>
      </c>
      <c r="H158" s="2">
        <v>510.0</v>
      </c>
      <c r="I158" s="2">
        <v>6.0</v>
      </c>
      <c r="J158" s="2" t="s">
        <v>17</v>
      </c>
      <c r="K158" s="2" t="s">
        <v>18</v>
      </c>
      <c r="L158" s="2" t="s">
        <v>19</v>
      </c>
      <c r="M158" s="2" t="s">
        <v>20</v>
      </c>
    </row>
    <row r="159">
      <c r="A159" s="4" t="s">
        <v>188</v>
      </c>
      <c r="B159" s="4">
        <v>50.0</v>
      </c>
      <c r="C159" s="4" t="s">
        <v>31</v>
      </c>
      <c r="D159" s="5">
        <v>36069.0</v>
      </c>
      <c r="E159" s="4" t="s">
        <v>22</v>
      </c>
      <c r="F159" s="4">
        <v>81272.0</v>
      </c>
      <c r="G159" s="4" t="s">
        <v>23</v>
      </c>
      <c r="H159" s="4">
        <v>676.0</v>
      </c>
      <c r="I159" s="4">
        <v>3.0</v>
      </c>
      <c r="J159" s="4" t="s">
        <v>42</v>
      </c>
      <c r="K159" s="4" t="s">
        <v>24</v>
      </c>
      <c r="L159" s="4" t="s">
        <v>28</v>
      </c>
      <c r="M159" s="4" t="s">
        <v>20</v>
      </c>
    </row>
    <row r="160">
      <c r="A160" s="2" t="s">
        <v>189</v>
      </c>
      <c r="B160" s="2">
        <v>18.0</v>
      </c>
      <c r="C160" s="2" t="s">
        <v>31</v>
      </c>
      <c r="D160" s="3">
        <v>22910.0</v>
      </c>
      <c r="E160" s="2" t="s">
        <v>22</v>
      </c>
      <c r="F160" s="2">
        <v>87649.0</v>
      </c>
      <c r="G160" s="2" t="s">
        <v>16</v>
      </c>
      <c r="H160" s="2">
        <v>694.0</v>
      </c>
      <c r="I160" s="2">
        <v>24.0</v>
      </c>
      <c r="J160" s="2" t="s">
        <v>45</v>
      </c>
      <c r="K160" s="2" t="s">
        <v>18</v>
      </c>
      <c r="L160" s="2" t="s">
        <v>34</v>
      </c>
      <c r="M160" s="2" t="s">
        <v>20</v>
      </c>
    </row>
    <row r="161">
      <c r="A161" s="4" t="s">
        <v>190</v>
      </c>
      <c r="B161" s="4">
        <v>44.0</v>
      </c>
      <c r="C161" s="4" t="s">
        <v>31</v>
      </c>
      <c r="D161" s="5">
        <v>83479.0</v>
      </c>
      <c r="E161" s="4" t="s">
        <v>15</v>
      </c>
      <c r="F161" s="4">
        <v>84674.0</v>
      </c>
      <c r="G161" s="4" t="s">
        <v>23</v>
      </c>
      <c r="H161" s="4">
        <v>749.0</v>
      </c>
      <c r="I161" s="4">
        <v>6.0</v>
      </c>
      <c r="J161" s="4" t="s">
        <v>42</v>
      </c>
      <c r="K161" s="4" t="s">
        <v>24</v>
      </c>
      <c r="L161" s="4" t="s">
        <v>19</v>
      </c>
      <c r="M161" s="4" t="s">
        <v>20</v>
      </c>
    </row>
    <row r="162">
      <c r="A162" s="2" t="s">
        <v>191</v>
      </c>
      <c r="B162" s="2">
        <v>30.0</v>
      </c>
      <c r="C162" s="2" t="s">
        <v>31</v>
      </c>
      <c r="D162" s="3">
        <v>91264.0</v>
      </c>
      <c r="E162" s="2" t="s">
        <v>15</v>
      </c>
      <c r="F162" s="2">
        <v>164832.0</v>
      </c>
      <c r="G162" s="2" t="s">
        <v>33</v>
      </c>
      <c r="H162" s="2">
        <v>663.0</v>
      </c>
      <c r="I162" s="2">
        <v>12.0</v>
      </c>
      <c r="J162" s="2" t="s">
        <v>42</v>
      </c>
      <c r="K162" s="2" t="s">
        <v>24</v>
      </c>
      <c r="L162" s="2" t="s">
        <v>19</v>
      </c>
      <c r="M162" s="2" t="s">
        <v>20</v>
      </c>
    </row>
    <row r="163">
      <c r="A163" s="4" t="s">
        <v>192</v>
      </c>
      <c r="B163" s="4">
        <v>58.0</v>
      </c>
      <c r="C163" s="4" t="s">
        <v>31</v>
      </c>
      <c r="D163" s="5">
        <v>33275.0</v>
      </c>
      <c r="E163" s="4" t="s">
        <v>15</v>
      </c>
      <c r="F163" s="4">
        <v>172999.0</v>
      </c>
      <c r="G163" s="4" t="s">
        <v>33</v>
      </c>
      <c r="H163" s="4">
        <v>756.0</v>
      </c>
      <c r="I163" s="4">
        <v>3.0</v>
      </c>
      <c r="J163" s="4" t="s">
        <v>27</v>
      </c>
      <c r="K163" s="4" t="s">
        <v>24</v>
      </c>
      <c r="L163" s="4" t="s">
        <v>28</v>
      </c>
      <c r="M163" s="4" t="s">
        <v>20</v>
      </c>
    </row>
    <row r="164">
      <c r="A164" s="2" t="s">
        <v>193</v>
      </c>
      <c r="B164" s="2">
        <v>20.0</v>
      </c>
      <c r="C164" s="2" t="s">
        <v>14</v>
      </c>
      <c r="D164" s="3">
        <v>82274.0</v>
      </c>
      <c r="E164" s="2" t="s">
        <v>22</v>
      </c>
      <c r="F164" s="2">
        <v>106475.0</v>
      </c>
      <c r="G164" s="2" t="s">
        <v>23</v>
      </c>
      <c r="H164" s="2">
        <v>525.0</v>
      </c>
      <c r="I164" s="2">
        <v>12.0</v>
      </c>
      <c r="J164" s="2" t="s">
        <v>42</v>
      </c>
      <c r="K164" s="2" t="s">
        <v>24</v>
      </c>
      <c r="L164" s="2" t="s">
        <v>19</v>
      </c>
      <c r="M164" s="2" t="s">
        <v>20</v>
      </c>
    </row>
    <row r="165">
      <c r="A165" s="4" t="s">
        <v>194</v>
      </c>
      <c r="B165" s="4">
        <v>56.0</v>
      </c>
      <c r="C165" s="4" t="s">
        <v>31</v>
      </c>
      <c r="D165" s="5">
        <v>110776.0</v>
      </c>
      <c r="E165" s="4" t="s">
        <v>15</v>
      </c>
      <c r="F165" s="4">
        <v>81367.0</v>
      </c>
      <c r="G165" s="4" t="s">
        <v>16</v>
      </c>
      <c r="H165" s="4">
        <v>430.0</v>
      </c>
      <c r="I165" s="4">
        <v>3.0</v>
      </c>
      <c r="J165" s="4" t="s">
        <v>17</v>
      </c>
      <c r="K165" s="4" t="s">
        <v>18</v>
      </c>
      <c r="L165" s="4" t="s">
        <v>19</v>
      </c>
      <c r="M165" s="4" t="s">
        <v>20</v>
      </c>
    </row>
    <row r="166">
      <c r="A166" s="2" t="s">
        <v>195</v>
      </c>
      <c r="B166" s="2">
        <v>23.0</v>
      </c>
      <c r="C166" s="2" t="s">
        <v>31</v>
      </c>
      <c r="D166" s="3">
        <v>58447.0</v>
      </c>
      <c r="E166" s="2" t="s">
        <v>22</v>
      </c>
      <c r="F166" s="2">
        <v>163660.0</v>
      </c>
      <c r="G166" s="2" t="s">
        <v>23</v>
      </c>
      <c r="H166" s="2">
        <v>775.0</v>
      </c>
      <c r="I166" s="2">
        <v>24.0</v>
      </c>
      <c r="J166" s="2" t="s">
        <v>17</v>
      </c>
      <c r="K166" s="2" t="s">
        <v>24</v>
      </c>
      <c r="L166" s="2" t="s">
        <v>28</v>
      </c>
      <c r="M166" s="2" t="s">
        <v>20</v>
      </c>
    </row>
    <row r="167">
      <c r="A167" s="4" t="s">
        <v>196</v>
      </c>
      <c r="B167" s="4">
        <v>25.0</v>
      </c>
      <c r="C167" s="4" t="s">
        <v>14</v>
      </c>
      <c r="D167" s="5">
        <v>136394.0</v>
      </c>
      <c r="E167" s="4" t="s">
        <v>26</v>
      </c>
      <c r="F167" s="4">
        <v>141750.0</v>
      </c>
      <c r="G167" s="4" t="s">
        <v>23</v>
      </c>
      <c r="H167" s="4">
        <v>576.0</v>
      </c>
      <c r="I167" s="4">
        <v>24.0</v>
      </c>
      <c r="J167" s="4" t="s">
        <v>45</v>
      </c>
      <c r="K167" s="4" t="s">
        <v>18</v>
      </c>
      <c r="L167" s="4" t="s">
        <v>19</v>
      </c>
      <c r="M167" s="4" t="s">
        <v>20</v>
      </c>
    </row>
    <row r="168">
      <c r="A168" s="2" t="s">
        <v>197</v>
      </c>
      <c r="B168" s="2">
        <v>44.0</v>
      </c>
      <c r="C168" s="2" t="s">
        <v>14</v>
      </c>
      <c r="D168" s="3">
        <v>85703.0</v>
      </c>
      <c r="E168" s="2" t="s">
        <v>15</v>
      </c>
      <c r="F168" s="2">
        <v>138154.0</v>
      </c>
      <c r="G168" s="2" t="s">
        <v>16</v>
      </c>
      <c r="H168" s="2">
        <v>455.0</v>
      </c>
      <c r="I168" s="2">
        <v>3.0</v>
      </c>
      <c r="J168" s="2" t="s">
        <v>17</v>
      </c>
      <c r="K168" s="2" t="s">
        <v>18</v>
      </c>
      <c r="L168" s="2" t="s">
        <v>19</v>
      </c>
      <c r="M168" s="2" t="s">
        <v>20</v>
      </c>
    </row>
    <row r="169">
      <c r="A169" s="4" t="s">
        <v>198</v>
      </c>
      <c r="B169" s="4">
        <v>26.0</v>
      </c>
      <c r="C169" s="4" t="s">
        <v>14</v>
      </c>
      <c r="D169" s="5">
        <v>86090.0</v>
      </c>
      <c r="E169" s="4" t="s">
        <v>22</v>
      </c>
      <c r="F169" s="4">
        <v>64738.0</v>
      </c>
      <c r="G169" s="4" t="s">
        <v>16</v>
      </c>
      <c r="H169" s="4">
        <v>517.0</v>
      </c>
      <c r="I169" s="4">
        <v>3.0</v>
      </c>
      <c r="J169" s="4" t="s">
        <v>27</v>
      </c>
      <c r="K169" s="4" t="s">
        <v>18</v>
      </c>
      <c r="L169" s="4" t="s">
        <v>19</v>
      </c>
      <c r="M169" s="4" t="s">
        <v>20</v>
      </c>
    </row>
    <row r="170">
      <c r="A170" s="2" t="s">
        <v>199</v>
      </c>
      <c r="B170" s="2">
        <v>54.0</v>
      </c>
      <c r="C170" s="2" t="s">
        <v>31</v>
      </c>
      <c r="D170" s="3">
        <v>27260.0</v>
      </c>
      <c r="E170" s="2" t="s">
        <v>22</v>
      </c>
      <c r="F170" s="2">
        <v>53397.0</v>
      </c>
      <c r="G170" s="2" t="s">
        <v>33</v>
      </c>
      <c r="H170" s="2">
        <v>489.0</v>
      </c>
      <c r="I170" s="2">
        <v>3.0</v>
      </c>
      <c r="J170" s="2" t="s">
        <v>45</v>
      </c>
      <c r="K170" s="2" t="s">
        <v>18</v>
      </c>
      <c r="L170" s="2" t="s">
        <v>34</v>
      </c>
      <c r="M170" s="2" t="s">
        <v>20</v>
      </c>
    </row>
    <row r="171">
      <c r="A171" s="4" t="s">
        <v>200</v>
      </c>
      <c r="B171" s="4">
        <v>50.0</v>
      </c>
      <c r="C171" s="4" t="s">
        <v>14</v>
      </c>
      <c r="D171" s="5">
        <v>122581.0</v>
      </c>
      <c r="E171" s="4" t="s">
        <v>15</v>
      </c>
      <c r="F171" s="4">
        <v>102189.0</v>
      </c>
      <c r="G171" s="4" t="s">
        <v>16</v>
      </c>
      <c r="H171" s="4">
        <v>716.0</v>
      </c>
      <c r="I171" s="4">
        <v>24.0</v>
      </c>
      <c r="J171" s="4" t="s">
        <v>17</v>
      </c>
      <c r="K171" s="4" t="s">
        <v>24</v>
      </c>
      <c r="L171" s="4" t="s">
        <v>19</v>
      </c>
      <c r="M171" s="4" t="s">
        <v>20</v>
      </c>
    </row>
    <row r="172">
      <c r="A172" s="2" t="s">
        <v>201</v>
      </c>
      <c r="B172" s="2">
        <v>59.0</v>
      </c>
      <c r="C172" s="2" t="s">
        <v>31</v>
      </c>
      <c r="D172" s="3">
        <v>13812.0</v>
      </c>
      <c r="E172" s="2" t="s">
        <v>26</v>
      </c>
      <c r="F172" s="2">
        <v>96367.0</v>
      </c>
      <c r="G172" s="2" t="s">
        <v>16</v>
      </c>
      <c r="H172" s="2">
        <v>845.0</v>
      </c>
      <c r="I172" s="2">
        <v>6.0</v>
      </c>
      <c r="J172" s="2" t="s">
        <v>27</v>
      </c>
      <c r="K172" s="2" t="s">
        <v>18</v>
      </c>
      <c r="L172" s="2" t="s">
        <v>34</v>
      </c>
      <c r="M172" s="2" t="s">
        <v>20</v>
      </c>
    </row>
    <row r="173">
      <c r="A173" s="4" t="s">
        <v>202</v>
      </c>
      <c r="B173" s="4">
        <v>41.0</v>
      </c>
      <c r="C173" s="4" t="s">
        <v>31</v>
      </c>
      <c r="D173" s="5">
        <v>126148.0</v>
      </c>
      <c r="E173" s="4" t="s">
        <v>15</v>
      </c>
      <c r="F173" s="4">
        <v>140585.0</v>
      </c>
      <c r="G173" s="4" t="s">
        <v>16</v>
      </c>
      <c r="H173" s="4">
        <v>340.0</v>
      </c>
      <c r="I173" s="4">
        <v>12.0</v>
      </c>
      <c r="J173" s="4" t="s">
        <v>17</v>
      </c>
      <c r="K173" s="4" t="s">
        <v>18</v>
      </c>
      <c r="L173" s="4" t="s">
        <v>19</v>
      </c>
      <c r="M173" s="4" t="s">
        <v>20</v>
      </c>
    </row>
    <row r="174">
      <c r="A174" s="2" t="s">
        <v>203</v>
      </c>
      <c r="B174" s="2">
        <v>32.0</v>
      </c>
      <c r="C174" s="2" t="s">
        <v>31</v>
      </c>
      <c r="D174" s="3">
        <v>126421.0</v>
      </c>
      <c r="E174" s="2" t="s">
        <v>15</v>
      </c>
      <c r="F174" s="2">
        <v>96619.0</v>
      </c>
      <c r="G174" s="2" t="s">
        <v>16</v>
      </c>
      <c r="H174" s="2">
        <v>606.0</v>
      </c>
      <c r="I174" s="2">
        <v>12.0</v>
      </c>
      <c r="J174" s="2" t="s">
        <v>17</v>
      </c>
      <c r="K174" s="2" t="s">
        <v>24</v>
      </c>
      <c r="L174" s="2" t="s">
        <v>19</v>
      </c>
      <c r="M174" s="2" t="s">
        <v>20</v>
      </c>
    </row>
    <row r="175">
      <c r="A175" s="4" t="s">
        <v>204</v>
      </c>
      <c r="B175" s="4">
        <v>49.0</v>
      </c>
      <c r="C175" s="4" t="s">
        <v>31</v>
      </c>
      <c r="D175" s="5">
        <v>11605.0</v>
      </c>
      <c r="E175" s="4" t="s">
        <v>15</v>
      </c>
      <c r="F175" s="4">
        <v>131453.0</v>
      </c>
      <c r="G175" s="4" t="s">
        <v>33</v>
      </c>
      <c r="H175" s="4">
        <v>637.0</v>
      </c>
      <c r="I175" s="4">
        <v>24.0</v>
      </c>
      <c r="J175" s="4" t="s">
        <v>42</v>
      </c>
      <c r="K175" s="4" t="s">
        <v>24</v>
      </c>
      <c r="L175" s="4" t="s">
        <v>34</v>
      </c>
      <c r="M175" s="4" t="s">
        <v>20</v>
      </c>
    </row>
    <row r="176">
      <c r="A176" s="2" t="s">
        <v>205</v>
      </c>
      <c r="B176" s="2">
        <v>49.0</v>
      </c>
      <c r="C176" s="2" t="s">
        <v>14</v>
      </c>
      <c r="D176" s="3">
        <v>82303.0</v>
      </c>
      <c r="E176" s="2" t="s">
        <v>15</v>
      </c>
      <c r="F176" s="2">
        <v>39816.0</v>
      </c>
      <c r="G176" s="2" t="s">
        <v>33</v>
      </c>
      <c r="H176" s="2">
        <v>613.0</v>
      </c>
      <c r="I176" s="2">
        <v>12.0</v>
      </c>
      <c r="J176" s="2" t="s">
        <v>17</v>
      </c>
      <c r="K176" s="2" t="s">
        <v>24</v>
      </c>
      <c r="L176" s="2" t="s">
        <v>19</v>
      </c>
      <c r="M176" s="2" t="s">
        <v>20</v>
      </c>
    </row>
    <row r="177">
      <c r="A177" s="4" t="s">
        <v>206</v>
      </c>
      <c r="B177" s="4">
        <v>41.0</v>
      </c>
      <c r="C177" s="4" t="s">
        <v>14</v>
      </c>
      <c r="D177" s="5">
        <v>86125.0</v>
      </c>
      <c r="E177" s="4" t="s">
        <v>22</v>
      </c>
      <c r="F177" s="4">
        <v>193312.0</v>
      </c>
      <c r="G177" s="4" t="s">
        <v>33</v>
      </c>
      <c r="H177" s="4">
        <v>374.0</v>
      </c>
      <c r="I177" s="4">
        <v>3.0</v>
      </c>
      <c r="J177" s="4" t="s">
        <v>17</v>
      </c>
      <c r="K177" s="4" t="s">
        <v>24</v>
      </c>
      <c r="L177" s="4" t="s">
        <v>19</v>
      </c>
      <c r="M177" s="4" t="s">
        <v>20</v>
      </c>
    </row>
    <row r="178">
      <c r="A178" s="2" t="s">
        <v>207</v>
      </c>
      <c r="B178" s="2">
        <v>58.0</v>
      </c>
      <c r="C178" s="2" t="s">
        <v>31</v>
      </c>
      <c r="D178" s="3">
        <v>134040.0</v>
      </c>
      <c r="E178" s="2" t="s">
        <v>26</v>
      </c>
      <c r="F178" s="2">
        <v>157348.0</v>
      </c>
      <c r="G178" s="2" t="s">
        <v>16</v>
      </c>
      <c r="H178" s="2">
        <v>578.0</v>
      </c>
      <c r="I178" s="2">
        <v>6.0</v>
      </c>
      <c r="J178" s="2" t="s">
        <v>27</v>
      </c>
      <c r="K178" s="2" t="s">
        <v>18</v>
      </c>
      <c r="L178" s="2" t="s">
        <v>19</v>
      </c>
      <c r="M178" s="2" t="s">
        <v>20</v>
      </c>
    </row>
    <row r="179">
      <c r="A179" s="4" t="s">
        <v>208</v>
      </c>
      <c r="B179" s="4">
        <v>29.0</v>
      </c>
      <c r="C179" s="4" t="s">
        <v>31</v>
      </c>
      <c r="D179" s="5">
        <v>14324.0</v>
      </c>
      <c r="E179" s="4" t="s">
        <v>22</v>
      </c>
      <c r="F179" s="4">
        <v>99530.0</v>
      </c>
      <c r="G179" s="4" t="s">
        <v>16</v>
      </c>
      <c r="H179" s="4">
        <v>475.0</v>
      </c>
      <c r="I179" s="4">
        <v>12.0</v>
      </c>
      <c r="J179" s="4" t="s">
        <v>27</v>
      </c>
      <c r="K179" s="4" t="s">
        <v>18</v>
      </c>
      <c r="L179" s="4" t="s">
        <v>34</v>
      </c>
      <c r="M179" s="4" t="s">
        <v>20</v>
      </c>
    </row>
    <row r="180">
      <c r="A180" s="2" t="s">
        <v>209</v>
      </c>
      <c r="B180" s="2">
        <v>56.0</v>
      </c>
      <c r="C180" s="2" t="s">
        <v>31</v>
      </c>
      <c r="D180" s="3">
        <v>86323.0</v>
      </c>
      <c r="E180" s="2" t="s">
        <v>22</v>
      </c>
      <c r="F180" s="2">
        <v>174571.0</v>
      </c>
      <c r="G180" s="2" t="s">
        <v>16</v>
      </c>
      <c r="H180" s="2">
        <v>572.0</v>
      </c>
      <c r="I180" s="2">
        <v>6.0</v>
      </c>
      <c r="J180" s="2" t="s">
        <v>42</v>
      </c>
      <c r="K180" s="2" t="s">
        <v>18</v>
      </c>
      <c r="L180" s="2" t="s">
        <v>19</v>
      </c>
      <c r="M180" s="2" t="s">
        <v>20</v>
      </c>
    </row>
    <row r="181">
      <c r="A181" s="4" t="s">
        <v>210</v>
      </c>
      <c r="B181" s="4">
        <v>19.0</v>
      </c>
      <c r="C181" s="4" t="s">
        <v>14</v>
      </c>
      <c r="D181" s="5">
        <v>19111.0</v>
      </c>
      <c r="E181" s="4" t="s">
        <v>26</v>
      </c>
      <c r="F181" s="4">
        <v>128856.0</v>
      </c>
      <c r="G181" s="4" t="s">
        <v>16</v>
      </c>
      <c r="H181" s="4">
        <v>588.0</v>
      </c>
      <c r="I181" s="4">
        <v>3.0</v>
      </c>
      <c r="J181" s="4" t="s">
        <v>17</v>
      </c>
      <c r="K181" s="4" t="s">
        <v>18</v>
      </c>
      <c r="L181" s="4" t="s">
        <v>34</v>
      </c>
      <c r="M181" s="4" t="s">
        <v>20</v>
      </c>
    </row>
    <row r="182">
      <c r="A182" s="2" t="s">
        <v>211</v>
      </c>
      <c r="B182" s="2">
        <v>20.0</v>
      </c>
      <c r="C182" s="2" t="s">
        <v>31</v>
      </c>
      <c r="D182" s="3">
        <v>26389.0</v>
      </c>
      <c r="E182" s="2" t="s">
        <v>22</v>
      </c>
      <c r="F182" s="2">
        <v>91635.0</v>
      </c>
      <c r="G182" s="2" t="s">
        <v>16</v>
      </c>
      <c r="H182" s="2">
        <v>571.0</v>
      </c>
      <c r="I182" s="2">
        <v>12.0</v>
      </c>
      <c r="J182" s="2" t="s">
        <v>42</v>
      </c>
      <c r="K182" s="2" t="s">
        <v>18</v>
      </c>
      <c r="L182" s="2" t="s">
        <v>34</v>
      </c>
      <c r="M182" s="2" t="s">
        <v>20</v>
      </c>
    </row>
    <row r="183">
      <c r="A183" s="4" t="s">
        <v>212</v>
      </c>
      <c r="B183" s="4">
        <v>54.0</v>
      </c>
      <c r="C183" s="4" t="s">
        <v>31</v>
      </c>
      <c r="D183" s="5">
        <v>132177.0</v>
      </c>
      <c r="E183" s="4" t="s">
        <v>22</v>
      </c>
      <c r="F183" s="4">
        <v>127803.0</v>
      </c>
      <c r="G183" s="4" t="s">
        <v>33</v>
      </c>
      <c r="H183" s="4">
        <v>365.0</v>
      </c>
      <c r="I183" s="4">
        <v>24.0</v>
      </c>
      <c r="J183" s="4" t="s">
        <v>17</v>
      </c>
      <c r="K183" s="4" t="s">
        <v>24</v>
      </c>
      <c r="L183" s="4" t="s">
        <v>19</v>
      </c>
      <c r="M183" s="4" t="s">
        <v>20</v>
      </c>
    </row>
    <row r="184">
      <c r="A184" s="2" t="s">
        <v>213</v>
      </c>
      <c r="B184" s="2">
        <v>34.0</v>
      </c>
      <c r="C184" s="2" t="s">
        <v>14</v>
      </c>
      <c r="D184" s="3">
        <v>51427.0</v>
      </c>
      <c r="E184" s="2" t="s">
        <v>22</v>
      </c>
      <c r="F184" s="2">
        <v>55946.0</v>
      </c>
      <c r="G184" s="2" t="s">
        <v>16</v>
      </c>
      <c r="H184" s="2">
        <v>782.0</v>
      </c>
      <c r="I184" s="2">
        <v>6.0</v>
      </c>
      <c r="J184" s="2" t="s">
        <v>45</v>
      </c>
      <c r="K184" s="2" t="s">
        <v>24</v>
      </c>
      <c r="L184" s="2" t="s">
        <v>28</v>
      </c>
      <c r="M184" s="2" t="s">
        <v>20</v>
      </c>
    </row>
    <row r="185">
      <c r="A185" s="4" t="s">
        <v>214</v>
      </c>
      <c r="B185" s="4">
        <v>19.0</v>
      </c>
      <c r="C185" s="4" t="s">
        <v>14</v>
      </c>
      <c r="D185" s="5">
        <v>132883.0</v>
      </c>
      <c r="E185" s="4" t="s">
        <v>26</v>
      </c>
      <c r="F185" s="4">
        <v>75204.0</v>
      </c>
      <c r="G185" s="4" t="s">
        <v>23</v>
      </c>
      <c r="H185" s="4">
        <v>547.0</v>
      </c>
      <c r="I185" s="4">
        <v>3.0</v>
      </c>
      <c r="J185" s="4" t="s">
        <v>45</v>
      </c>
      <c r="K185" s="4" t="s">
        <v>18</v>
      </c>
      <c r="L185" s="4" t="s">
        <v>19</v>
      </c>
      <c r="M185" s="4" t="s">
        <v>20</v>
      </c>
    </row>
    <row r="186">
      <c r="A186" s="2" t="s">
        <v>215</v>
      </c>
      <c r="B186" s="2">
        <v>19.0</v>
      </c>
      <c r="C186" s="2" t="s">
        <v>31</v>
      </c>
      <c r="D186" s="3">
        <v>141189.0</v>
      </c>
      <c r="E186" s="2" t="s">
        <v>22</v>
      </c>
      <c r="F186" s="2">
        <v>35563.0</v>
      </c>
      <c r="G186" s="2" t="s">
        <v>16</v>
      </c>
      <c r="H186" s="2">
        <v>455.0</v>
      </c>
      <c r="I186" s="2">
        <v>6.0</v>
      </c>
      <c r="J186" s="2" t="s">
        <v>42</v>
      </c>
      <c r="K186" s="2" t="s">
        <v>18</v>
      </c>
      <c r="L186" s="2" t="s">
        <v>19</v>
      </c>
      <c r="M186" s="2" t="s">
        <v>20</v>
      </c>
    </row>
    <row r="187">
      <c r="A187" s="4" t="s">
        <v>216</v>
      </c>
      <c r="B187" s="4">
        <v>45.0</v>
      </c>
      <c r="C187" s="4" t="s">
        <v>14</v>
      </c>
      <c r="D187" s="5">
        <v>135808.0</v>
      </c>
      <c r="E187" s="4" t="s">
        <v>22</v>
      </c>
      <c r="F187" s="4">
        <v>112324.0</v>
      </c>
      <c r="G187" s="4" t="s">
        <v>16</v>
      </c>
      <c r="H187" s="4">
        <v>346.0</v>
      </c>
      <c r="I187" s="4">
        <v>12.0</v>
      </c>
      <c r="J187" s="4" t="s">
        <v>42</v>
      </c>
      <c r="K187" s="4" t="s">
        <v>18</v>
      </c>
      <c r="L187" s="4" t="s">
        <v>19</v>
      </c>
      <c r="M187" s="4" t="s">
        <v>20</v>
      </c>
    </row>
    <row r="188">
      <c r="A188" s="2" t="s">
        <v>217</v>
      </c>
      <c r="B188" s="2">
        <v>40.0</v>
      </c>
      <c r="C188" s="2" t="s">
        <v>14</v>
      </c>
      <c r="D188" s="3">
        <v>122221.0</v>
      </c>
      <c r="E188" s="2" t="s">
        <v>22</v>
      </c>
      <c r="F188" s="2">
        <v>29847.0</v>
      </c>
      <c r="G188" s="2" t="s">
        <v>16</v>
      </c>
      <c r="H188" s="2">
        <v>753.0</v>
      </c>
      <c r="I188" s="2">
        <v>12.0</v>
      </c>
      <c r="J188" s="2" t="s">
        <v>42</v>
      </c>
      <c r="K188" s="2" t="s">
        <v>24</v>
      </c>
      <c r="L188" s="2" t="s">
        <v>19</v>
      </c>
      <c r="M188" s="2" t="s">
        <v>20</v>
      </c>
    </row>
    <row r="189">
      <c r="A189" s="4" t="s">
        <v>218</v>
      </c>
      <c r="B189" s="4">
        <v>54.0</v>
      </c>
      <c r="C189" s="4" t="s">
        <v>31</v>
      </c>
      <c r="D189" s="5">
        <v>23234.0</v>
      </c>
      <c r="E189" s="4" t="s">
        <v>22</v>
      </c>
      <c r="F189" s="4">
        <v>46155.0</v>
      </c>
      <c r="G189" s="4" t="s">
        <v>33</v>
      </c>
      <c r="H189" s="4">
        <v>500.0</v>
      </c>
      <c r="I189" s="4">
        <v>24.0</v>
      </c>
      <c r="J189" s="4" t="s">
        <v>27</v>
      </c>
      <c r="K189" s="4" t="s">
        <v>18</v>
      </c>
      <c r="L189" s="4" t="s">
        <v>34</v>
      </c>
      <c r="M189" s="4" t="s">
        <v>20</v>
      </c>
    </row>
    <row r="190">
      <c r="A190" s="2" t="s">
        <v>219</v>
      </c>
      <c r="B190" s="2">
        <v>49.0</v>
      </c>
      <c r="C190" s="2" t="s">
        <v>14</v>
      </c>
      <c r="D190" s="3">
        <v>63441.0</v>
      </c>
      <c r="E190" s="2" t="s">
        <v>22</v>
      </c>
      <c r="F190" s="2">
        <v>99671.0</v>
      </c>
      <c r="G190" s="2" t="s">
        <v>33</v>
      </c>
      <c r="H190" s="2">
        <v>423.0</v>
      </c>
      <c r="I190" s="2">
        <v>3.0</v>
      </c>
      <c r="J190" s="2" t="s">
        <v>27</v>
      </c>
      <c r="K190" s="2" t="s">
        <v>24</v>
      </c>
      <c r="L190" s="2" t="s">
        <v>28</v>
      </c>
      <c r="M190" s="2" t="s">
        <v>20</v>
      </c>
    </row>
    <row r="191">
      <c r="A191" s="4" t="s">
        <v>220</v>
      </c>
      <c r="B191" s="4">
        <v>50.0</v>
      </c>
      <c r="C191" s="4" t="s">
        <v>31</v>
      </c>
      <c r="D191" s="5">
        <v>10846.0</v>
      </c>
      <c r="E191" s="4" t="s">
        <v>22</v>
      </c>
      <c r="F191" s="4">
        <v>136891.0</v>
      </c>
      <c r="G191" s="4" t="s">
        <v>33</v>
      </c>
      <c r="H191" s="4">
        <v>300.0</v>
      </c>
      <c r="I191" s="4">
        <v>3.0</v>
      </c>
      <c r="J191" s="4" t="s">
        <v>27</v>
      </c>
      <c r="K191" s="4" t="s">
        <v>18</v>
      </c>
      <c r="L191" s="4" t="s">
        <v>34</v>
      </c>
      <c r="M191" s="4" t="s">
        <v>20</v>
      </c>
    </row>
    <row r="192">
      <c r="A192" s="2" t="s">
        <v>221</v>
      </c>
      <c r="B192" s="2">
        <v>18.0</v>
      </c>
      <c r="C192" s="2" t="s">
        <v>14</v>
      </c>
      <c r="D192" s="3">
        <v>20954.0</v>
      </c>
      <c r="E192" s="2" t="s">
        <v>15</v>
      </c>
      <c r="F192" s="2">
        <v>103310.0</v>
      </c>
      <c r="G192" s="2" t="s">
        <v>16</v>
      </c>
      <c r="H192" s="2">
        <v>490.0</v>
      </c>
      <c r="I192" s="2">
        <v>24.0</v>
      </c>
      <c r="J192" s="2" t="s">
        <v>42</v>
      </c>
      <c r="K192" s="2" t="s">
        <v>18</v>
      </c>
      <c r="L192" s="2" t="s">
        <v>34</v>
      </c>
      <c r="M192" s="2" t="s">
        <v>20</v>
      </c>
    </row>
    <row r="193">
      <c r="A193" s="4" t="s">
        <v>222</v>
      </c>
      <c r="B193" s="4">
        <v>36.0</v>
      </c>
      <c r="C193" s="4" t="s">
        <v>31</v>
      </c>
      <c r="D193" s="5">
        <v>89239.0</v>
      </c>
      <c r="E193" s="4" t="s">
        <v>22</v>
      </c>
      <c r="F193" s="4">
        <v>169381.0</v>
      </c>
      <c r="G193" s="4" t="s">
        <v>16</v>
      </c>
      <c r="H193" s="4">
        <v>815.0</v>
      </c>
      <c r="I193" s="4">
        <v>24.0</v>
      </c>
      <c r="J193" s="4" t="s">
        <v>17</v>
      </c>
      <c r="K193" s="4" t="s">
        <v>24</v>
      </c>
      <c r="L193" s="4" t="s">
        <v>19</v>
      </c>
      <c r="M193" s="4" t="s">
        <v>20</v>
      </c>
    </row>
    <row r="194">
      <c r="A194" s="2" t="s">
        <v>223</v>
      </c>
      <c r="B194" s="2">
        <v>19.0</v>
      </c>
      <c r="C194" s="2" t="s">
        <v>31</v>
      </c>
      <c r="D194" s="3">
        <v>56514.0</v>
      </c>
      <c r="E194" s="2" t="s">
        <v>22</v>
      </c>
      <c r="F194" s="2">
        <v>151691.0</v>
      </c>
      <c r="G194" s="2" t="s">
        <v>23</v>
      </c>
      <c r="H194" s="2">
        <v>741.0</v>
      </c>
      <c r="I194" s="2">
        <v>3.0</v>
      </c>
      <c r="J194" s="2" t="s">
        <v>45</v>
      </c>
      <c r="K194" s="2" t="s">
        <v>24</v>
      </c>
      <c r="L194" s="2" t="s">
        <v>28</v>
      </c>
      <c r="M194" s="2" t="s">
        <v>20</v>
      </c>
    </row>
    <row r="195">
      <c r="A195" s="4" t="s">
        <v>224</v>
      </c>
      <c r="B195" s="4">
        <v>43.0</v>
      </c>
      <c r="C195" s="4" t="s">
        <v>31</v>
      </c>
      <c r="D195" s="5">
        <v>98236.0</v>
      </c>
      <c r="E195" s="4" t="s">
        <v>22</v>
      </c>
      <c r="F195" s="4">
        <v>54707.0</v>
      </c>
      <c r="G195" s="4" t="s">
        <v>16</v>
      </c>
      <c r="H195" s="4">
        <v>442.0</v>
      </c>
      <c r="I195" s="4">
        <v>6.0</v>
      </c>
      <c r="J195" s="4" t="s">
        <v>42</v>
      </c>
      <c r="K195" s="4" t="s">
        <v>18</v>
      </c>
      <c r="L195" s="4" t="s">
        <v>19</v>
      </c>
      <c r="M195" s="4" t="s">
        <v>20</v>
      </c>
    </row>
    <row r="196">
      <c r="A196" s="2" t="s">
        <v>225</v>
      </c>
      <c r="B196" s="2">
        <v>49.0</v>
      </c>
      <c r="C196" s="2" t="s">
        <v>14</v>
      </c>
      <c r="D196" s="3">
        <v>107579.0</v>
      </c>
      <c r="E196" s="2" t="s">
        <v>22</v>
      </c>
      <c r="F196" s="2">
        <v>171409.0</v>
      </c>
      <c r="G196" s="2" t="s">
        <v>33</v>
      </c>
      <c r="H196" s="2">
        <v>490.0</v>
      </c>
      <c r="I196" s="2">
        <v>6.0</v>
      </c>
      <c r="J196" s="2" t="s">
        <v>27</v>
      </c>
      <c r="K196" s="2" t="s">
        <v>24</v>
      </c>
      <c r="L196" s="2" t="s">
        <v>19</v>
      </c>
      <c r="M196" s="2" t="s">
        <v>20</v>
      </c>
    </row>
    <row r="197">
      <c r="A197" s="4" t="s">
        <v>226</v>
      </c>
      <c r="B197" s="4">
        <v>23.0</v>
      </c>
      <c r="C197" s="4" t="s">
        <v>31</v>
      </c>
      <c r="D197" s="5">
        <v>147541.0</v>
      </c>
      <c r="E197" s="4" t="s">
        <v>15</v>
      </c>
      <c r="F197" s="4">
        <v>101537.0</v>
      </c>
      <c r="G197" s="4" t="s">
        <v>16</v>
      </c>
      <c r="H197" s="4">
        <v>832.0</v>
      </c>
      <c r="I197" s="4">
        <v>24.0</v>
      </c>
      <c r="J197" s="4" t="s">
        <v>27</v>
      </c>
      <c r="K197" s="4" t="s">
        <v>24</v>
      </c>
      <c r="L197" s="4" t="s">
        <v>19</v>
      </c>
      <c r="M197" s="4" t="s">
        <v>20</v>
      </c>
    </row>
    <row r="198">
      <c r="A198" s="2" t="s">
        <v>227</v>
      </c>
      <c r="B198" s="2">
        <v>49.0</v>
      </c>
      <c r="C198" s="2" t="s">
        <v>14</v>
      </c>
      <c r="D198" s="3">
        <v>52101.0</v>
      </c>
      <c r="E198" s="2" t="s">
        <v>15</v>
      </c>
      <c r="F198" s="2">
        <v>198686.0</v>
      </c>
      <c r="G198" s="2" t="s">
        <v>16</v>
      </c>
      <c r="H198" s="2">
        <v>526.0</v>
      </c>
      <c r="I198" s="2">
        <v>6.0</v>
      </c>
      <c r="J198" s="2" t="s">
        <v>42</v>
      </c>
      <c r="K198" s="2" t="s">
        <v>18</v>
      </c>
      <c r="L198" s="2" t="s">
        <v>28</v>
      </c>
      <c r="M198" s="2" t="s">
        <v>20</v>
      </c>
    </row>
    <row r="199">
      <c r="A199" s="4" t="s">
        <v>228</v>
      </c>
      <c r="B199" s="4">
        <v>21.0</v>
      </c>
      <c r="C199" s="4" t="s">
        <v>31</v>
      </c>
      <c r="D199" s="5">
        <v>74323.0</v>
      </c>
      <c r="E199" s="4" t="s">
        <v>22</v>
      </c>
      <c r="F199" s="4">
        <v>111155.0</v>
      </c>
      <c r="G199" s="4" t="s">
        <v>16</v>
      </c>
      <c r="H199" s="4">
        <v>612.0</v>
      </c>
      <c r="I199" s="4">
        <v>3.0</v>
      </c>
      <c r="J199" s="4" t="s">
        <v>42</v>
      </c>
      <c r="K199" s="4" t="s">
        <v>24</v>
      </c>
      <c r="L199" s="4" t="s">
        <v>19</v>
      </c>
      <c r="M199" s="4" t="s">
        <v>20</v>
      </c>
    </row>
    <row r="200">
      <c r="A200" s="2" t="s">
        <v>229</v>
      </c>
      <c r="B200" s="2">
        <v>28.0</v>
      </c>
      <c r="C200" s="2" t="s">
        <v>31</v>
      </c>
      <c r="D200" s="3">
        <v>101922.0</v>
      </c>
      <c r="E200" s="2" t="s">
        <v>22</v>
      </c>
      <c r="F200" s="2">
        <v>20281.0</v>
      </c>
      <c r="G200" s="2" t="s">
        <v>16</v>
      </c>
      <c r="H200" s="2">
        <v>601.0</v>
      </c>
      <c r="I200" s="2">
        <v>12.0</v>
      </c>
      <c r="J200" s="2" t="s">
        <v>27</v>
      </c>
      <c r="K200" s="2" t="s">
        <v>24</v>
      </c>
      <c r="L200" s="2" t="s">
        <v>19</v>
      </c>
      <c r="M200" s="2" t="s">
        <v>20</v>
      </c>
    </row>
    <row r="201">
      <c r="A201" s="4" t="s">
        <v>230</v>
      </c>
      <c r="B201" s="4">
        <v>34.0</v>
      </c>
      <c r="C201" s="4" t="s">
        <v>14</v>
      </c>
      <c r="D201" s="5">
        <v>137534.0</v>
      </c>
      <c r="E201" s="4" t="s">
        <v>22</v>
      </c>
      <c r="F201" s="4">
        <v>178492.0</v>
      </c>
      <c r="G201" s="4" t="s">
        <v>33</v>
      </c>
      <c r="H201" s="4">
        <v>759.0</v>
      </c>
      <c r="I201" s="4">
        <v>12.0</v>
      </c>
      <c r="J201" s="4" t="s">
        <v>17</v>
      </c>
      <c r="K201" s="4" t="s">
        <v>24</v>
      </c>
      <c r="L201" s="4" t="s">
        <v>19</v>
      </c>
      <c r="M201" s="4" t="s">
        <v>20</v>
      </c>
    </row>
    <row r="202">
      <c r="A202" s="2" t="s">
        <v>231</v>
      </c>
      <c r="B202" s="2">
        <v>55.0</v>
      </c>
      <c r="C202" s="2" t="s">
        <v>31</v>
      </c>
      <c r="D202" s="3">
        <v>77584.0</v>
      </c>
      <c r="E202" s="2" t="s">
        <v>26</v>
      </c>
      <c r="F202" s="2">
        <v>190102.0</v>
      </c>
      <c r="G202" s="2" t="s">
        <v>16</v>
      </c>
      <c r="H202" s="2">
        <v>700.0</v>
      </c>
      <c r="I202" s="2">
        <v>6.0</v>
      </c>
      <c r="J202" s="2" t="s">
        <v>27</v>
      </c>
      <c r="K202" s="2" t="s">
        <v>18</v>
      </c>
      <c r="L202" s="2" t="s">
        <v>19</v>
      </c>
      <c r="M202" s="2" t="s">
        <v>20</v>
      </c>
    </row>
    <row r="203">
      <c r="A203" s="4" t="s">
        <v>232</v>
      </c>
      <c r="B203" s="4">
        <v>41.0</v>
      </c>
      <c r="C203" s="4" t="s">
        <v>31</v>
      </c>
      <c r="D203" s="5">
        <v>114537.0</v>
      </c>
      <c r="E203" s="4" t="s">
        <v>15</v>
      </c>
      <c r="F203" s="4">
        <v>152130.0</v>
      </c>
      <c r="G203" s="4" t="s">
        <v>16</v>
      </c>
      <c r="H203" s="4">
        <v>692.0</v>
      </c>
      <c r="I203" s="4">
        <v>24.0</v>
      </c>
      <c r="J203" s="4" t="s">
        <v>27</v>
      </c>
      <c r="K203" s="4" t="s">
        <v>24</v>
      </c>
      <c r="L203" s="4" t="s">
        <v>19</v>
      </c>
      <c r="M203" s="4" t="s">
        <v>20</v>
      </c>
    </row>
    <row r="204">
      <c r="A204" s="2" t="s">
        <v>233</v>
      </c>
      <c r="B204" s="2">
        <v>22.0</v>
      </c>
      <c r="C204" s="2" t="s">
        <v>14</v>
      </c>
      <c r="D204" s="3">
        <v>88477.0</v>
      </c>
      <c r="E204" s="2" t="s">
        <v>15</v>
      </c>
      <c r="F204" s="2">
        <v>96260.0</v>
      </c>
      <c r="G204" s="2" t="s">
        <v>16</v>
      </c>
      <c r="H204" s="2">
        <v>506.0</v>
      </c>
      <c r="I204" s="2">
        <v>24.0</v>
      </c>
      <c r="J204" s="2" t="s">
        <v>42</v>
      </c>
      <c r="K204" s="2" t="s">
        <v>18</v>
      </c>
      <c r="L204" s="2" t="s">
        <v>19</v>
      </c>
      <c r="M204" s="2" t="s">
        <v>20</v>
      </c>
    </row>
    <row r="205">
      <c r="A205" s="4" t="s">
        <v>234</v>
      </c>
      <c r="B205" s="4">
        <v>51.0</v>
      </c>
      <c r="C205" s="4" t="s">
        <v>31</v>
      </c>
      <c r="D205" s="5">
        <v>52533.0</v>
      </c>
      <c r="E205" s="4" t="s">
        <v>22</v>
      </c>
      <c r="F205" s="4">
        <v>179476.0</v>
      </c>
      <c r="G205" s="4" t="s">
        <v>16</v>
      </c>
      <c r="H205" s="4">
        <v>509.0</v>
      </c>
      <c r="I205" s="4">
        <v>24.0</v>
      </c>
      <c r="J205" s="4" t="s">
        <v>17</v>
      </c>
      <c r="K205" s="4" t="s">
        <v>18</v>
      </c>
      <c r="L205" s="4" t="s">
        <v>28</v>
      </c>
      <c r="M205" s="4" t="s">
        <v>20</v>
      </c>
    </row>
    <row r="206">
      <c r="A206" s="2" t="s">
        <v>235</v>
      </c>
      <c r="B206" s="2">
        <v>23.0</v>
      </c>
      <c r="C206" s="2" t="s">
        <v>31</v>
      </c>
      <c r="D206" s="3">
        <v>11828.0</v>
      </c>
      <c r="E206" s="2" t="s">
        <v>26</v>
      </c>
      <c r="F206" s="2">
        <v>180928.0</v>
      </c>
      <c r="G206" s="2" t="s">
        <v>33</v>
      </c>
      <c r="H206" s="2">
        <v>414.0</v>
      </c>
      <c r="I206" s="2">
        <v>24.0</v>
      </c>
      <c r="J206" s="2" t="s">
        <v>27</v>
      </c>
      <c r="K206" s="2" t="s">
        <v>18</v>
      </c>
      <c r="L206" s="2" t="s">
        <v>34</v>
      </c>
      <c r="M206" s="2" t="s">
        <v>20</v>
      </c>
    </row>
    <row r="207">
      <c r="A207" s="4" t="s">
        <v>236</v>
      </c>
      <c r="B207" s="4">
        <v>39.0</v>
      </c>
      <c r="C207" s="4" t="s">
        <v>31</v>
      </c>
      <c r="D207" s="5">
        <v>11917.0</v>
      </c>
      <c r="E207" s="4" t="s">
        <v>22</v>
      </c>
      <c r="F207" s="4">
        <v>160272.0</v>
      </c>
      <c r="G207" s="4" t="s">
        <v>33</v>
      </c>
      <c r="H207" s="4">
        <v>550.0</v>
      </c>
      <c r="I207" s="4">
        <v>24.0</v>
      </c>
      <c r="J207" s="4" t="s">
        <v>27</v>
      </c>
      <c r="K207" s="4" t="s">
        <v>18</v>
      </c>
      <c r="L207" s="4" t="s">
        <v>34</v>
      </c>
      <c r="M207" s="4" t="s">
        <v>20</v>
      </c>
    </row>
    <row r="208">
      <c r="A208" s="2" t="s">
        <v>237</v>
      </c>
      <c r="B208" s="2">
        <v>28.0</v>
      </c>
      <c r="C208" s="2" t="s">
        <v>31</v>
      </c>
      <c r="D208" s="3">
        <v>30618.0</v>
      </c>
      <c r="E208" s="2" t="s">
        <v>22</v>
      </c>
      <c r="F208" s="2">
        <v>84178.0</v>
      </c>
      <c r="G208" s="2" t="s">
        <v>33</v>
      </c>
      <c r="H208" s="2">
        <v>518.0</v>
      </c>
      <c r="I208" s="2">
        <v>6.0</v>
      </c>
      <c r="J208" s="2" t="s">
        <v>45</v>
      </c>
      <c r="K208" s="2" t="s">
        <v>24</v>
      </c>
      <c r="L208" s="2" t="s">
        <v>28</v>
      </c>
      <c r="M208" s="2" t="s">
        <v>20</v>
      </c>
    </row>
    <row r="209">
      <c r="A209" s="4" t="s">
        <v>238</v>
      </c>
      <c r="B209" s="4">
        <v>33.0</v>
      </c>
      <c r="C209" s="4" t="s">
        <v>14</v>
      </c>
      <c r="D209" s="5">
        <v>42254.0</v>
      </c>
      <c r="E209" s="4" t="s">
        <v>22</v>
      </c>
      <c r="F209" s="4">
        <v>53997.0</v>
      </c>
      <c r="G209" s="4" t="s">
        <v>33</v>
      </c>
      <c r="H209" s="4">
        <v>706.0</v>
      </c>
      <c r="I209" s="4">
        <v>12.0</v>
      </c>
      <c r="J209" s="4" t="s">
        <v>42</v>
      </c>
      <c r="K209" s="4" t="s">
        <v>24</v>
      </c>
      <c r="L209" s="4" t="s">
        <v>28</v>
      </c>
      <c r="M209" s="4" t="s">
        <v>20</v>
      </c>
    </row>
    <row r="210">
      <c r="A210" s="2" t="s">
        <v>239</v>
      </c>
      <c r="B210" s="2">
        <v>50.0</v>
      </c>
      <c r="C210" s="2" t="s">
        <v>14</v>
      </c>
      <c r="D210" s="3">
        <v>115292.0</v>
      </c>
      <c r="E210" s="2" t="s">
        <v>22</v>
      </c>
      <c r="F210" s="2">
        <v>176683.0</v>
      </c>
      <c r="G210" s="2" t="s">
        <v>16</v>
      </c>
      <c r="H210" s="2">
        <v>742.0</v>
      </c>
      <c r="I210" s="2">
        <v>12.0</v>
      </c>
      <c r="J210" s="2" t="s">
        <v>45</v>
      </c>
      <c r="K210" s="2" t="s">
        <v>24</v>
      </c>
      <c r="L210" s="2" t="s">
        <v>19</v>
      </c>
      <c r="M210" s="2" t="s">
        <v>20</v>
      </c>
    </row>
    <row r="211">
      <c r="A211" s="4" t="s">
        <v>240</v>
      </c>
      <c r="B211" s="4">
        <v>26.0</v>
      </c>
      <c r="C211" s="4" t="s">
        <v>31</v>
      </c>
      <c r="D211" s="5">
        <v>57362.0</v>
      </c>
      <c r="E211" s="4" t="s">
        <v>26</v>
      </c>
      <c r="F211" s="4">
        <v>139273.0</v>
      </c>
      <c r="G211" s="4" t="s">
        <v>23</v>
      </c>
      <c r="H211" s="4">
        <v>653.0</v>
      </c>
      <c r="I211" s="4">
        <v>6.0</v>
      </c>
      <c r="J211" s="4" t="s">
        <v>45</v>
      </c>
      <c r="K211" s="4" t="s">
        <v>24</v>
      </c>
      <c r="L211" s="4" t="s">
        <v>28</v>
      </c>
      <c r="M211" s="4" t="s">
        <v>20</v>
      </c>
    </row>
    <row r="212">
      <c r="A212" s="2" t="s">
        <v>241</v>
      </c>
      <c r="B212" s="2">
        <v>23.0</v>
      </c>
      <c r="C212" s="2" t="s">
        <v>14</v>
      </c>
      <c r="D212" s="3">
        <v>30128.0</v>
      </c>
      <c r="E212" s="2" t="s">
        <v>15</v>
      </c>
      <c r="F212" s="2">
        <v>192307.0</v>
      </c>
      <c r="G212" s="2" t="s">
        <v>16</v>
      </c>
      <c r="H212" s="2">
        <v>849.0</v>
      </c>
      <c r="I212" s="2">
        <v>24.0</v>
      </c>
      <c r="J212" s="2" t="s">
        <v>27</v>
      </c>
      <c r="K212" s="2" t="s">
        <v>24</v>
      </c>
      <c r="L212" s="2" t="s">
        <v>28</v>
      </c>
      <c r="M212" s="2" t="s">
        <v>20</v>
      </c>
    </row>
    <row r="213">
      <c r="A213" s="4" t="s">
        <v>242</v>
      </c>
      <c r="B213" s="4">
        <v>33.0</v>
      </c>
      <c r="C213" s="4" t="s">
        <v>31</v>
      </c>
      <c r="D213" s="5">
        <v>133781.0</v>
      </c>
      <c r="E213" s="4" t="s">
        <v>22</v>
      </c>
      <c r="F213" s="4">
        <v>186129.0</v>
      </c>
      <c r="G213" s="4" t="s">
        <v>16</v>
      </c>
      <c r="H213" s="4">
        <v>441.0</v>
      </c>
      <c r="I213" s="4">
        <v>6.0</v>
      </c>
      <c r="J213" s="4" t="s">
        <v>42</v>
      </c>
      <c r="K213" s="4" t="s">
        <v>18</v>
      </c>
      <c r="L213" s="4" t="s">
        <v>19</v>
      </c>
      <c r="M213" s="4" t="s">
        <v>20</v>
      </c>
    </row>
    <row r="214">
      <c r="A214" s="2" t="s">
        <v>243</v>
      </c>
      <c r="B214" s="2">
        <v>46.0</v>
      </c>
      <c r="C214" s="2" t="s">
        <v>14</v>
      </c>
      <c r="D214" s="3">
        <v>75545.0</v>
      </c>
      <c r="E214" s="2" t="s">
        <v>15</v>
      </c>
      <c r="F214" s="2">
        <v>152311.0</v>
      </c>
      <c r="G214" s="2" t="s">
        <v>33</v>
      </c>
      <c r="H214" s="2">
        <v>800.0</v>
      </c>
      <c r="I214" s="2">
        <v>12.0</v>
      </c>
      <c r="J214" s="2" t="s">
        <v>17</v>
      </c>
      <c r="K214" s="2" t="s">
        <v>24</v>
      </c>
      <c r="L214" s="2" t="s">
        <v>19</v>
      </c>
      <c r="M214" s="2" t="s">
        <v>20</v>
      </c>
    </row>
    <row r="215">
      <c r="A215" s="4" t="s">
        <v>244</v>
      </c>
      <c r="B215" s="4">
        <v>20.0</v>
      </c>
      <c r="C215" s="4" t="s">
        <v>31</v>
      </c>
      <c r="D215" s="5">
        <v>92180.0</v>
      </c>
      <c r="E215" s="4" t="s">
        <v>26</v>
      </c>
      <c r="F215" s="4">
        <v>146945.0</v>
      </c>
      <c r="G215" s="4" t="s">
        <v>16</v>
      </c>
      <c r="H215" s="4">
        <v>846.0</v>
      </c>
      <c r="I215" s="4">
        <v>3.0</v>
      </c>
      <c r="J215" s="4" t="s">
        <v>27</v>
      </c>
      <c r="K215" s="4" t="s">
        <v>18</v>
      </c>
      <c r="L215" s="4" t="s">
        <v>19</v>
      </c>
      <c r="M215" s="4" t="s">
        <v>20</v>
      </c>
    </row>
    <row r="216">
      <c r="A216" s="2" t="s">
        <v>245</v>
      </c>
      <c r="B216" s="2">
        <v>37.0</v>
      </c>
      <c r="C216" s="2" t="s">
        <v>31</v>
      </c>
      <c r="D216" s="3">
        <v>97958.0</v>
      </c>
      <c r="E216" s="2" t="s">
        <v>26</v>
      </c>
      <c r="F216" s="2">
        <v>65272.0</v>
      </c>
      <c r="G216" s="2" t="s">
        <v>33</v>
      </c>
      <c r="H216" s="2">
        <v>841.0</v>
      </c>
      <c r="I216" s="2">
        <v>6.0</v>
      </c>
      <c r="J216" s="2" t="s">
        <v>17</v>
      </c>
      <c r="K216" s="2" t="s">
        <v>24</v>
      </c>
      <c r="L216" s="2" t="s">
        <v>19</v>
      </c>
      <c r="M216" s="2" t="s">
        <v>20</v>
      </c>
    </row>
    <row r="217">
      <c r="A217" s="4" t="s">
        <v>246</v>
      </c>
      <c r="B217" s="4">
        <v>53.0</v>
      </c>
      <c r="C217" s="4" t="s">
        <v>31</v>
      </c>
      <c r="D217" s="5">
        <v>143291.0</v>
      </c>
      <c r="E217" s="4" t="s">
        <v>15</v>
      </c>
      <c r="F217" s="4">
        <v>109393.0</v>
      </c>
      <c r="G217" s="4" t="s">
        <v>16</v>
      </c>
      <c r="H217" s="4">
        <v>806.0</v>
      </c>
      <c r="I217" s="4">
        <v>24.0</v>
      </c>
      <c r="J217" s="4" t="s">
        <v>17</v>
      </c>
      <c r="K217" s="4" t="s">
        <v>24</v>
      </c>
      <c r="L217" s="4" t="s">
        <v>19</v>
      </c>
      <c r="M217" s="4" t="s">
        <v>20</v>
      </c>
    </row>
    <row r="218">
      <c r="A218" s="2" t="s">
        <v>247</v>
      </c>
      <c r="B218" s="2">
        <v>36.0</v>
      </c>
      <c r="C218" s="2" t="s">
        <v>31</v>
      </c>
      <c r="D218" s="3">
        <v>49809.0</v>
      </c>
      <c r="E218" s="2" t="s">
        <v>26</v>
      </c>
      <c r="F218" s="2">
        <v>81212.0</v>
      </c>
      <c r="G218" s="2" t="s">
        <v>23</v>
      </c>
      <c r="H218" s="2">
        <v>580.0</v>
      </c>
      <c r="I218" s="2">
        <v>12.0</v>
      </c>
      <c r="J218" s="2" t="s">
        <v>42</v>
      </c>
      <c r="K218" s="2" t="s">
        <v>18</v>
      </c>
      <c r="L218" s="2" t="s">
        <v>28</v>
      </c>
      <c r="M218" s="2" t="s">
        <v>20</v>
      </c>
    </row>
    <row r="219">
      <c r="A219" s="4" t="s">
        <v>248</v>
      </c>
      <c r="B219" s="4">
        <v>43.0</v>
      </c>
      <c r="C219" s="4" t="s">
        <v>31</v>
      </c>
      <c r="D219" s="5">
        <v>126748.0</v>
      </c>
      <c r="E219" s="4" t="s">
        <v>26</v>
      </c>
      <c r="F219" s="4">
        <v>166470.0</v>
      </c>
      <c r="G219" s="4" t="s">
        <v>23</v>
      </c>
      <c r="H219" s="4">
        <v>723.0</v>
      </c>
      <c r="I219" s="4">
        <v>12.0</v>
      </c>
      <c r="J219" s="4" t="s">
        <v>45</v>
      </c>
      <c r="K219" s="4" t="s">
        <v>24</v>
      </c>
      <c r="L219" s="4" t="s">
        <v>19</v>
      </c>
      <c r="M219" s="4" t="s">
        <v>20</v>
      </c>
    </row>
    <row r="220">
      <c r="A220" s="2" t="s">
        <v>249</v>
      </c>
      <c r="B220" s="2">
        <v>20.0</v>
      </c>
      <c r="C220" s="2" t="s">
        <v>31</v>
      </c>
      <c r="D220" s="3">
        <v>15287.0</v>
      </c>
      <c r="E220" s="2" t="s">
        <v>15</v>
      </c>
      <c r="F220" s="2">
        <v>140030.0</v>
      </c>
      <c r="G220" s="2" t="s">
        <v>33</v>
      </c>
      <c r="H220" s="2">
        <v>569.0</v>
      </c>
      <c r="I220" s="2">
        <v>12.0</v>
      </c>
      <c r="J220" s="2" t="s">
        <v>42</v>
      </c>
      <c r="K220" s="2" t="s">
        <v>18</v>
      </c>
      <c r="L220" s="2" t="s">
        <v>34</v>
      </c>
      <c r="M220" s="2" t="s">
        <v>20</v>
      </c>
    </row>
    <row r="221">
      <c r="A221" s="4" t="s">
        <v>250</v>
      </c>
      <c r="B221" s="4">
        <v>36.0</v>
      </c>
      <c r="C221" s="4" t="s">
        <v>14</v>
      </c>
      <c r="D221" s="5">
        <v>18512.0</v>
      </c>
      <c r="E221" s="4" t="s">
        <v>22</v>
      </c>
      <c r="F221" s="4">
        <v>76503.0</v>
      </c>
      <c r="G221" s="4" t="s">
        <v>23</v>
      </c>
      <c r="H221" s="4">
        <v>453.0</v>
      </c>
      <c r="I221" s="4">
        <v>12.0</v>
      </c>
      <c r="J221" s="4" t="s">
        <v>17</v>
      </c>
      <c r="K221" s="4" t="s">
        <v>18</v>
      </c>
      <c r="L221" s="4" t="s">
        <v>34</v>
      </c>
      <c r="M221" s="4" t="s">
        <v>20</v>
      </c>
    </row>
    <row r="222">
      <c r="A222" s="2" t="s">
        <v>251</v>
      </c>
      <c r="B222" s="2">
        <v>37.0</v>
      </c>
      <c r="C222" s="2" t="s">
        <v>31</v>
      </c>
      <c r="D222" s="3">
        <v>142414.0</v>
      </c>
      <c r="E222" s="2" t="s">
        <v>22</v>
      </c>
      <c r="F222" s="2">
        <v>157710.0</v>
      </c>
      <c r="G222" s="2" t="s">
        <v>23</v>
      </c>
      <c r="H222" s="2">
        <v>382.0</v>
      </c>
      <c r="I222" s="2">
        <v>24.0</v>
      </c>
      <c r="J222" s="2" t="s">
        <v>27</v>
      </c>
      <c r="K222" s="2" t="s">
        <v>24</v>
      </c>
      <c r="L222" s="2" t="s">
        <v>19</v>
      </c>
      <c r="M222" s="2" t="s">
        <v>20</v>
      </c>
    </row>
    <row r="223">
      <c r="A223" s="4" t="s">
        <v>252</v>
      </c>
      <c r="B223" s="4">
        <v>49.0</v>
      </c>
      <c r="C223" s="4" t="s">
        <v>14</v>
      </c>
      <c r="D223" s="5">
        <v>118872.0</v>
      </c>
      <c r="E223" s="4" t="s">
        <v>26</v>
      </c>
      <c r="F223" s="4">
        <v>26570.0</v>
      </c>
      <c r="G223" s="4" t="s">
        <v>16</v>
      </c>
      <c r="H223" s="4">
        <v>725.0</v>
      </c>
      <c r="I223" s="4">
        <v>3.0</v>
      </c>
      <c r="J223" s="4" t="s">
        <v>17</v>
      </c>
      <c r="K223" s="4" t="s">
        <v>18</v>
      </c>
      <c r="L223" s="4" t="s">
        <v>19</v>
      </c>
      <c r="M223" s="4" t="s">
        <v>20</v>
      </c>
    </row>
    <row r="224">
      <c r="A224" s="2" t="s">
        <v>253</v>
      </c>
      <c r="B224" s="2">
        <v>24.0</v>
      </c>
      <c r="C224" s="2" t="s">
        <v>31</v>
      </c>
      <c r="D224" s="3">
        <v>103070.0</v>
      </c>
      <c r="E224" s="2" t="s">
        <v>22</v>
      </c>
      <c r="F224" s="2">
        <v>88785.0</v>
      </c>
      <c r="G224" s="2" t="s">
        <v>23</v>
      </c>
      <c r="H224" s="2">
        <v>574.0</v>
      </c>
      <c r="I224" s="2">
        <v>12.0</v>
      </c>
      <c r="J224" s="2" t="s">
        <v>27</v>
      </c>
      <c r="K224" s="2" t="s">
        <v>24</v>
      </c>
      <c r="L224" s="2" t="s">
        <v>19</v>
      </c>
      <c r="M224" s="2" t="s">
        <v>20</v>
      </c>
    </row>
    <row r="225">
      <c r="A225" s="4" t="s">
        <v>254</v>
      </c>
      <c r="B225" s="4">
        <v>58.0</v>
      </c>
      <c r="C225" s="4" t="s">
        <v>14</v>
      </c>
      <c r="D225" s="5">
        <v>89767.0</v>
      </c>
      <c r="E225" s="4" t="s">
        <v>26</v>
      </c>
      <c r="F225" s="4">
        <v>29110.0</v>
      </c>
      <c r="G225" s="4" t="s">
        <v>16</v>
      </c>
      <c r="H225" s="4">
        <v>583.0</v>
      </c>
      <c r="I225" s="4">
        <v>6.0</v>
      </c>
      <c r="J225" s="4" t="s">
        <v>27</v>
      </c>
      <c r="K225" s="4" t="s">
        <v>18</v>
      </c>
      <c r="L225" s="4" t="s">
        <v>19</v>
      </c>
      <c r="M225" s="4" t="s">
        <v>20</v>
      </c>
    </row>
    <row r="226">
      <c r="A226" s="2" t="s">
        <v>255</v>
      </c>
      <c r="B226" s="2">
        <v>50.0</v>
      </c>
      <c r="C226" s="2" t="s">
        <v>14</v>
      </c>
      <c r="D226" s="3">
        <v>107829.0</v>
      </c>
      <c r="E226" s="2" t="s">
        <v>22</v>
      </c>
      <c r="F226" s="2">
        <v>99141.0</v>
      </c>
      <c r="G226" s="2" t="s">
        <v>33</v>
      </c>
      <c r="H226" s="2">
        <v>472.0</v>
      </c>
      <c r="I226" s="2">
        <v>3.0</v>
      </c>
      <c r="J226" s="2" t="s">
        <v>42</v>
      </c>
      <c r="K226" s="2" t="s">
        <v>24</v>
      </c>
      <c r="L226" s="2" t="s">
        <v>19</v>
      </c>
      <c r="M226" s="2" t="s">
        <v>20</v>
      </c>
    </row>
    <row r="227">
      <c r="A227" s="4" t="s">
        <v>256</v>
      </c>
      <c r="B227" s="4">
        <v>57.0</v>
      </c>
      <c r="C227" s="4" t="s">
        <v>14</v>
      </c>
      <c r="D227" s="5">
        <v>52078.0</v>
      </c>
      <c r="E227" s="4" t="s">
        <v>22</v>
      </c>
      <c r="F227" s="4">
        <v>32115.0</v>
      </c>
      <c r="G227" s="4" t="s">
        <v>23</v>
      </c>
      <c r="H227" s="4">
        <v>626.0</v>
      </c>
      <c r="I227" s="4">
        <v>12.0</v>
      </c>
      <c r="J227" s="4" t="s">
        <v>17</v>
      </c>
      <c r="K227" s="4" t="s">
        <v>24</v>
      </c>
      <c r="L227" s="4" t="s">
        <v>28</v>
      </c>
      <c r="M227" s="4" t="s">
        <v>20</v>
      </c>
    </row>
    <row r="228">
      <c r="A228" s="2" t="s">
        <v>257</v>
      </c>
      <c r="B228" s="2">
        <v>56.0</v>
      </c>
      <c r="C228" s="2" t="s">
        <v>31</v>
      </c>
      <c r="D228" s="3">
        <v>116288.0</v>
      </c>
      <c r="E228" s="2" t="s">
        <v>22</v>
      </c>
      <c r="F228" s="2">
        <v>59062.0</v>
      </c>
      <c r="G228" s="2" t="s">
        <v>23</v>
      </c>
      <c r="H228" s="2">
        <v>362.0</v>
      </c>
      <c r="I228" s="2">
        <v>3.0</v>
      </c>
      <c r="J228" s="2" t="s">
        <v>45</v>
      </c>
      <c r="K228" s="2" t="s">
        <v>24</v>
      </c>
      <c r="L228" s="2" t="s">
        <v>19</v>
      </c>
      <c r="M228" s="2" t="s">
        <v>20</v>
      </c>
    </row>
    <row r="229">
      <c r="A229" s="4" t="s">
        <v>258</v>
      </c>
      <c r="B229" s="4">
        <v>35.0</v>
      </c>
      <c r="C229" s="4" t="s">
        <v>31</v>
      </c>
      <c r="D229" s="5">
        <v>93524.0</v>
      </c>
      <c r="E229" s="4" t="s">
        <v>22</v>
      </c>
      <c r="F229" s="4">
        <v>42911.0</v>
      </c>
      <c r="G229" s="4" t="s">
        <v>16</v>
      </c>
      <c r="H229" s="4">
        <v>372.0</v>
      </c>
      <c r="I229" s="4">
        <v>6.0</v>
      </c>
      <c r="J229" s="4" t="s">
        <v>17</v>
      </c>
      <c r="K229" s="4" t="s">
        <v>18</v>
      </c>
      <c r="L229" s="4" t="s">
        <v>19</v>
      </c>
      <c r="M229" s="4" t="s">
        <v>20</v>
      </c>
    </row>
    <row r="230">
      <c r="A230" s="2" t="s">
        <v>259</v>
      </c>
      <c r="B230" s="2">
        <v>57.0</v>
      </c>
      <c r="C230" s="2" t="s">
        <v>14</v>
      </c>
      <c r="D230" s="3">
        <v>22219.0</v>
      </c>
      <c r="E230" s="2" t="s">
        <v>26</v>
      </c>
      <c r="F230" s="2">
        <v>124061.0</v>
      </c>
      <c r="G230" s="2" t="s">
        <v>16</v>
      </c>
      <c r="H230" s="2">
        <v>674.0</v>
      </c>
      <c r="I230" s="2">
        <v>12.0</v>
      </c>
      <c r="J230" s="2" t="s">
        <v>17</v>
      </c>
      <c r="K230" s="2" t="s">
        <v>18</v>
      </c>
      <c r="L230" s="2" t="s">
        <v>34</v>
      </c>
      <c r="M230" s="2" t="s">
        <v>20</v>
      </c>
    </row>
    <row r="231">
      <c r="A231" s="4" t="s">
        <v>260</v>
      </c>
      <c r="B231" s="4">
        <v>18.0</v>
      </c>
      <c r="C231" s="4" t="s">
        <v>31</v>
      </c>
      <c r="D231" s="5">
        <v>10235.0</v>
      </c>
      <c r="E231" s="4" t="s">
        <v>26</v>
      </c>
      <c r="F231" s="4">
        <v>52556.0</v>
      </c>
      <c r="G231" s="4" t="s">
        <v>33</v>
      </c>
      <c r="H231" s="4">
        <v>807.0</v>
      </c>
      <c r="I231" s="4">
        <v>6.0</v>
      </c>
      <c r="J231" s="4" t="s">
        <v>45</v>
      </c>
      <c r="K231" s="4" t="s">
        <v>18</v>
      </c>
      <c r="L231" s="4" t="s">
        <v>34</v>
      </c>
      <c r="M231" s="4" t="s">
        <v>20</v>
      </c>
    </row>
    <row r="232">
      <c r="A232" s="2" t="s">
        <v>261</v>
      </c>
      <c r="B232" s="2">
        <v>28.0</v>
      </c>
      <c r="C232" s="2" t="s">
        <v>14</v>
      </c>
      <c r="D232" s="3">
        <v>52929.0</v>
      </c>
      <c r="E232" s="2" t="s">
        <v>26</v>
      </c>
      <c r="F232" s="2">
        <v>148335.0</v>
      </c>
      <c r="G232" s="2" t="s">
        <v>16</v>
      </c>
      <c r="H232" s="2">
        <v>697.0</v>
      </c>
      <c r="I232" s="2">
        <v>24.0</v>
      </c>
      <c r="J232" s="2" t="s">
        <v>42</v>
      </c>
      <c r="K232" s="2" t="s">
        <v>18</v>
      </c>
      <c r="L232" s="2" t="s">
        <v>28</v>
      </c>
      <c r="M232" s="2" t="s">
        <v>20</v>
      </c>
    </row>
    <row r="233">
      <c r="A233" s="4" t="s">
        <v>262</v>
      </c>
      <c r="B233" s="4">
        <v>45.0</v>
      </c>
      <c r="C233" s="4" t="s">
        <v>31</v>
      </c>
      <c r="D233" s="5">
        <v>137309.0</v>
      </c>
      <c r="E233" s="4" t="s">
        <v>15</v>
      </c>
      <c r="F233" s="4">
        <v>21969.0</v>
      </c>
      <c r="G233" s="4" t="s">
        <v>16</v>
      </c>
      <c r="H233" s="4">
        <v>419.0</v>
      </c>
      <c r="I233" s="4">
        <v>12.0</v>
      </c>
      <c r="J233" s="4" t="s">
        <v>17</v>
      </c>
      <c r="K233" s="4" t="s">
        <v>18</v>
      </c>
      <c r="L233" s="4" t="s">
        <v>19</v>
      </c>
      <c r="M233" s="4" t="s">
        <v>20</v>
      </c>
    </row>
    <row r="234">
      <c r="A234" s="2" t="s">
        <v>263</v>
      </c>
      <c r="B234" s="2">
        <v>42.0</v>
      </c>
      <c r="C234" s="2" t="s">
        <v>14</v>
      </c>
      <c r="D234" s="3">
        <v>77444.0</v>
      </c>
      <c r="E234" s="2" t="s">
        <v>22</v>
      </c>
      <c r="F234" s="2">
        <v>63753.0</v>
      </c>
      <c r="G234" s="2" t="s">
        <v>16</v>
      </c>
      <c r="H234" s="2">
        <v>736.0</v>
      </c>
      <c r="I234" s="2">
        <v>12.0</v>
      </c>
      <c r="J234" s="2" t="s">
        <v>17</v>
      </c>
      <c r="K234" s="2" t="s">
        <v>24</v>
      </c>
      <c r="L234" s="2" t="s">
        <v>19</v>
      </c>
      <c r="M234" s="2" t="s">
        <v>20</v>
      </c>
    </row>
    <row r="235">
      <c r="A235" s="4" t="s">
        <v>264</v>
      </c>
      <c r="B235" s="4">
        <v>40.0</v>
      </c>
      <c r="C235" s="4" t="s">
        <v>14</v>
      </c>
      <c r="D235" s="5">
        <v>149639.0</v>
      </c>
      <c r="E235" s="4" t="s">
        <v>15</v>
      </c>
      <c r="F235" s="4">
        <v>155542.0</v>
      </c>
      <c r="G235" s="4" t="s">
        <v>33</v>
      </c>
      <c r="H235" s="4">
        <v>764.0</v>
      </c>
      <c r="I235" s="4">
        <v>12.0</v>
      </c>
      <c r="J235" s="4" t="s">
        <v>27</v>
      </c>
      <c r="K235" s="4" t="s">
        <v>24</v>
      </c>
      <c r="L235" s="4" t="s">
        <v>19</v>
      </c>
      <c r="M235" s="4" t="s">
        <v>20</v>
      </c>
    </row>
    <row r="236">
      <c r="A236" s="2" t="s">
        <v>265</v>
      </c>
      <c r="B236" s="2">
        <v>48.0</v>
      </c>
      <c r="C236" s="2" t="s">
        <v>31</v>
      </c>
      <c r="D236" s="3">
        <v>111834.0</v>
      </c>
      <c r="E236" s="2" t="s">
        <v>15</v>
      </c>
      <c r="F236" s="2">
        <v>141863.0</v>
      </c>
      <c r="G236" s="2" t="s">
        <v>33</v>
      </c>
      <c r="H236" s="2">
        <v>585.0</v>
      </c>
      <c r="I236" s="2">
        <v>12.0</v>
      </c>
      <c r="J236" s="2" t="s">
        <v>17</v>
      </c>
      <c r="K236" s="2" t="s">
        <v>24</v>
      </c>
      <c r="L236" s="2" t="s">
        <v>19</v>
      </c>
      <c r="M236" s="2" t="s">
        <v>20</v>
      </c>
    </row>
    <row r="237">
      <c r="A237" s="4" t="s">
        <v>266</v>
      </c>
      <c r="B237" s="4">
        <v>47.0</v>
      </c>
      <c r="C237" s="4" t="s">
        <v>14</v>
      </c>
      <c r="D237" s="5">
        <v>94555.0</v>
      </c>
      <c r="E237" s="4" t="s">
        <v>15</v>
      </c>
      <c r="F237" s="4">
        <v>30225.0</v>
      </c>
      <c r="G237" s="4" t="s">
        <v>16</v>
      </c>
      <c r="H237" s="4">
        <v>564.0</v>
      </c>
      <c r="I237" s="4">
        <v>24.0</v>
      </c>
      <c r="J237" s="4" t="s">
        <v>45</v>
      </c>
      <c r="K237" s="4" t="s">
        <v>18</v>
      </c>
      <c r="L237" s="4" t="s">
        <v>19</v>
      </c>
      <c r="M237" s="4" t="s">
        <v>20</v>
      </c>
    </row>
    <row r="238">
      <c r="A238" s="2" t="s">
        <v>267</v>
      </c>
      <c r="B238" s="2">
        <v>59.0</v>
      </c>
      <c r="C238" s="2" t="s">
        <v>31</v>
      </c>
      <c r="D238" s="3">
        <v>83698.0</v>
      </c>
      <c r="E238" s="2" t="s">
        <v>22</v>
      </c>
      <c r="F238" s="2">
        <v>143008.0</v>
      </c>
      <c r="G238" s="2" t="s">
        <v>16</v>
      </c>
      <c r="H238" s="2">
        <v>619.0</v>
      </c>
      <c r="I238" s="2">
        <v>12.0</v>
      </c>
      <c r="J238" s="2" t="s">
        <v>27</v>
      </c>
      <c r="K238" s="2" t="s">
        <v>24</v>
      </c>
      <c r="L238" s="2" t="s">
        <v>19</v>
      </c>
      <c r="M238" s="2" t="s">
        <v>20</v>
      </c>
    </row>
    <row r="239">
      <c r="A239" s="4" t="s">
        <v>268</v>
      </c>
      <c r="B239" s="4">
        <v>52.0</v>
      </c>
      <c r="C239" s="4" t="s">
        <v>14</v>
      </c>
      <c r="D239" s="5">
        <v>134450.0</v>
      </c>
      <c r="E239" s="4" t="s">
        <v>15</v>
      </c>
      <c r="F239" s="4">
        <v>174268.0</v>
      </c>
      <c r="G239" s="4" t="s">
        <v>16</v>
      </c>
      <c r="H239" s="4">
        <v>675.0</v>
      </c>
      <c r="I239" s="4">
        <v>3.0</v>
      </c>
      <c r="J239" s="4" t="s">
        <v>42</v>
      </c>
      <c r="K239" s="4" t="s">
        <v>24</v>
      </c>
      <c r="L239" s="4" t="s">
        <v>19</v>
      </c>
      <c r="M239" s="4" t="s">
        <v>20</v>
      </c>
    </row>
    <row r="240">
      <c r="A240" s="2" t="s">
        <v>269</v>
      </c>
      <c r="B240" s="2">
        <v>24.0</v>
      </c>
      <c r="C240" s="2" t="s">
        <v>14</v>
      </c>
      <c r="D240" s="3">
        <v>146487.0</v>
      </c>
      <c r="E240" s="2" t="s">
        <v>22</v>
      </c>
      <c r="F240" s="2">
        <v>125823.0</v>
      </c>
      <c r="G240" s="2" t="s">
        <v>33</v>
      </c>
      <c r="H240" s="2">
        <v>388.0</v>
      </c>
      <c r="I240" s="2">
        <v>12.0</v>
      </c>
      <c r="J240" s="2" t="s">
        <v>27</v>
      </c>
      <c r="K240" s="2" t="s">
        <v>24</v>
      </c>
      <c r="L240" s="2" t="s">
        <v>19</v>
      </c>
      <c r="M240" s="2" t="s">
        <v>20</v>
      </c>
    </row>
    <row r="241">
      <c r="A241" s="4" t="s">
        <v>270</v>
      </c>
      <c r="B241" s="4">
        <v>33.0</v>
      </c>
      <c r="C241" s="4" t="s">
        <v>31</v>
      </c>
      <c r="D241" s="5">
        <v>53925.0</v>
      </c>
      <c r="E241" s="4" t="s">
        <v>26</v>
      </c>
      <c r="F241" s="4">
        <v>33669.0</v>
      </c>
      <c r="G241" s="4" t="s">
        <v>23</v>
      </c>
      <c r="H241" s="4">
        <v>502.0</v>
      </c>
      <c r="I241" s="4">
        <v>24.0</v>
      </c>
      <c r="J241" s="4" t="s">
        <v>45</v>
      </c>
      <c r="K241" s="4" t="s">
        <v>18</v>
      </c>
      <c r="L241" s="4" t="s">
        <v>28</v>
      </c>
      <c r="M241" s="4" t="s">
        <v>20</v>
      </c>
    </row>
    <row r="242">
      <c r="A242" s="2" t="s">
        <v>271</v>
      </c>
      <c r="B242" s="2">
        <v>43.0</v>
      </c>
      <c r="C242" s="2" t="s">
        <v>31</v>
      </c>
      <c r="D242" s="3">
        <v>147023.0</v>
      </c>
      <c r="E242" s="2" t="s">
        <v>26</v>
      </c>
      <c r="F242" s="2">
        <v>188452.0</v>
      </c>
      <c r="G242" s="2" t="s">
        <v>16</v>
      </c>
      <c r="H242" s="2">
        <v>633.0</v>
      </c>
      <c r="I242" s="2">
        <v>12.0</v>
      </c>
      <c r="J242" s="2" t="s">
        <v>45</v>
      </c>
      <c r="K242" s="2" t="s">
        <v>18</v>
      </c>
      <c r="L242" s="2" t="s">
        <v>19</v>
      </c>
      <c r="M242" s="2" t="s">
        <v>20</v>
      </c>
    </row>
    <row r="243">
      <c r="A243" s="4" t="s">
        <v>272</v>
      </c>
      <c r="B243" s="4">
        <v>19.0</v>
      </c>
      <c r="C243" s="4" t="s">
        <v>31</v>
      </c>
      <c r="D243" s="5">
        <v>97388.0</v>
      </c>
      <c r="E243" s="4" t="s">
        <v>22</v>
      </c>
      <c r="F243" s="4">
        <v>144398.0</v>
      </c>
      <c r="G243" s="4" t="s">
        <v>16</v>
      </c>
      <c r="H243" s="4">
        <v>521.0</v>
      </c>
      <c r="I243" s="4">
        <v>3.0</v>
      </c>
      <c r="J243" s="4" t="s">
        <v>27</v>
      </c>
      <c r="K243" s="4" t="s">
        <v>18</v>
      </c>
      <c r="L243" s="4" t="s">
        <v>19</v>
      </c>
      <c r="M243" s="4" t="s">
        <v>20</v>
      </c>
    </row>
    <row r="244">
      <c r="A244" s="2" t="s">
        <v>273</v>
      </c>
      <c r="B244" s="2">
        <v>18.0</v>
      </c>
      <c r="C244" s="2" t="s">
        <v>14</v>
      </c>
      <c r="D244" s="3">
        <v>18007.0</v>
      </c>
      <c r="E244" s="2" t="s">
        <v>15</v>
      </c>
      <c r="F244" s="2">
        <v>130677.0</v>
      </c>
      <c r="G244" s="2" t="s">
        <v>16</v>
      </c>
      <c r="H244" s="2">
        <v>340.0</v>
      </c>
      <c r="I244" s="2">
        <v>24.0</v>
      </c>
      <c r="J244" s="2" t="s">
        <v>42</v>
      </c>
      <c r="K244" s="2" t="s">
        <v>18</v>
      </c>
      <c r="L244" s="2" t="s">
        <v>34</v>
      </c>
      <c r="M244" s="2" t="s">
        <v>20</v>
      </c>
    </row>
    <row r="245">
      <c r="A245" s="4" t="s">
        <v>274</v>
      </c>
      <c r="B245" s="4">
        <v>29.0</v>
      </c>
      <c r="C245" s="4" t="s">
        <v>31</v>
      </c>
      <c r="D245" s="5">
        <v>68596.0</v>
      </c>
      <c r="E245" s="4" t="s">
        <v>15</v>
      </c>
      <c r="F245" s="4">
        <v>68320.0</v>
      </c>
      <c r="G245" s="4" t="s">
        <v>23</v>
      </c>
      <c r="H245" s="4">
        <v>367.0</v>
      </c>
      <c r="I245" s="4">
        <v>24.0</v>
      </c>
      <c r="J245" s="4" t="s">
        <v>27</v>
      </c>
      <c r="K245" s="4" t="s">
        <v>24</v>
      </c>
      <c r="L245" s="4" t="s">
        <v>28</v>
      </c>
      <c r="M245" s="4" t="s">
        <v>20</v>
      </c>
    </row>
    <row r="246">
      <c r="A246" s="2" t="s">
        <v>275</v>
      </c>
      <c r="B246" s="2">
        <v>22.0</v>
      </c>
      <c r="C246" s="2" t="s">
        <v>14</v>
      </c>
      <c r="D246" s="3">
        <v>131101.0</v>
      </c>
      <c r="E246" s="2" t="s">
        <v>22</v>
      </c>
      <c r="F246" s="2">
        <v>198486.0</v>
      </c>
      <c r="G246" s="2" t="s">
        <v>33</v>
      </c>
      <c r="H246" s="2">
        <v>813.0</v>
      </c>
      <c r="I246" s="2">
        <v>3.0</v>
      </c>
      <c r="J246" s="2" t="s">
        <v>42</v>
      </c>
      <c r="K246" s="2" t="s">
        <v>24</v>
      </c>
      <c r="L246" s="2" t="s">
        <v>19</v>
      </c>
      <c r="M246" s="2" t="s">
        <v>20</v>
      </c>
    </row>
    <row r="247">
      <c r="A247" s="4" t="s">
        <v>276</v>
      </c>
      <c r="B247" s="4">
        <v>54.0</v>
      </c>
      <c r="C247" s="4" t="s">
        <v>14</v>
      </c>
      <c r="D247" s="5">
        <v>98861.0</v>
      </c>
      <c r="E247" s="4" t="s">
        <v>26</v>
      </c>
      <c r="F247" s="4">
        <v>166649.0</v>
      </c>
      <c r="G247" s="4" t="s">
        <v>16</v>
      </c>
      <c r="H247" s="4">
        <v>426.0</v>
      </c>
      <c r="I247" s="4">
        <v>3.0</v>
      </c>
      <c r="J247" s="4" t="s">
        <v>27</v>
      </c>
      <c r="K247" s="4" t="s">
        <v>18</v>
      </c>
      <c r="L247" s="4" t="s">
        <v>19</v>
      </c>
      <c r="M247" s="4" t="s">
        <v>20</v>
      </c>
    </row>
    <row r="248">
      <c r="A248" s="2" t="s">
        <v>277</v>
      </c>
      <c r="B248" s="2">
        <v>49.0</v>
      </c>
      <c r="C248" s="2" t="s">
        <v>31</v>
      </c>
      <c r="D248" s="3">
        <v>96740.0</v>
      </c>
      <c r="E248" s="2" t="s">
        <v>26</v>
      </c>
      <c r="F248" s="2">
        <v>145354.0</v>
      </c>
      <c r="G248" s="2" t="s">
        <v>16</v>
      </c>
      <c r="H248" s="2">
        <v>554.0</v>
      </c>
      <c r="I248" s="2">
        <v>3.0</v>
      </c>
      <c r="J248" s="2" t="s">
        <v>45</v>
      </c>
      <c r="K248" s="2" t="s">
        <v>18</v>
      </c>
      <c r="L248" s="2" t="s">
        <v>19</v>
      </c>
      <c r="M248" s="2" t="s">
        <v>20</v>
      </c>
    </row>
    <row r="249">
      <c r="A249" s="4" t="s">
        <v>278</v>
      </c>
      <c r="B249" s="4">
        <v>26.0</v>
      </c>
      <c r="C249" s="4" t="s">
        <v>31</v>
      </c>
      <c r="D249" s="5">
        <v>25524.0</v>
      </c>
      <c r="E249" s="4" t="s">
        <v>22</v>
      </c>
      <c r="F249" s="4">
        <v>108009.0</v>
      </c>
      <c r="G249" s="4" t="s">
        <v>16</v>
      </c>
      <c r="H249" s="4">
        <v>315.0</v>
      </c>
      <c r="I249" s="4">
        <v>3.0</v>
      </c>
      <c r="J249" s="4" t="s">
        <v>17</v>
      </c>
      <c r="K249" s="4" t="s">
        <v>18</v>
      </c>
      <c r="L249" s="4" t="s">
        <v>34</v>
      </c>
      <c r="M249" s="4" t="s">
        <v>20</v>
      </c>
    </row>
    <row r="250">
      <c r="A250" s="2" t="s">
        <v>279</v>
      </c>
      <c r="B250" s="2">
        <v>58.0</v>
      </c>
      <c r="C250" s="2" t="s">
        <v>14</v>
      </c>
      <c r="D250" s="3">
        <v>141149.0</v>
      </c>
      <c r="E250" s="2" t="s">
        <v>22</v>
      </c>
      <c r="F250" s="2">
        <v>48625.0</v>
      </c>
      <c r="G250" s="2" t="s">
        <v>33</v>
      </c>
      <c r="H250" s="2">
        <v>776.0</v>
      </c>
      <c r="I250" s="2">
        <v>3.0</v>
      </c>
      <c r="J250" s="2" t="s">
        <v>17</v>
      </c>
      <c r="K250" s="2" t="s">
        <v>24</v>
      </c>
      <c r="L250" s="2" t="s">
        <v>19</v>
      </c>
      <c r="M250" s="2" t="s">
        <v>20</v>
      </c>
    </row>
    <row r="251">
      <c r="A251" s="4" t="s">
        <v>280</v>
      </c>
      <c r="B251" s="4">
        <v>52.0</v>
      </c>
      <c r="C251" s="4" t="s">
        <v>14</v>
      </c>
      <c r="D251" s="5">
        <v>135501.0</v>
      </c>
      <c r="E251" s="4" t="s">
        <v>22</v>
      </c>
      <c r="F251" s="4">
        <v>44089.0</v>
      </c>
      <c r="G251" s="4" t="s">
        <v>16</v>
      </c>
      <c r="H251" s="4">
        <v>361.0</v>
      </c>
      <c r="I251" s="4">
        <v>24.0</v>
      </c>
      <c r="J251" s="4" t="s">
        <v>42</v>
      </c>
      <c r="K251" s="4" t="s">
        <v>18</v>
      </c>
      <c r="L251" s="4" t="s">
        <v>19</v>
      </c>
      <c r="M251" s="4" t="s">
        <v>20</v>
      </c>
    </row>
    <row r="252">
      <c r="A252" s="2" t="s">
        <v>281</v>
      </c>
      <c r="B252" s="2">
        <v>36.0</v>
      </c>
      <c r="C252" s="2" t="s">
        <v>31</v>
      </c>
      <c r="D252" s="3">
        <v>30611.0</v>
      </c>
      <c r="E252" s="2" t="s">
        <v>22</v>
      </c>
      <c r="F252" s="2">
        <v>56487.0</v>
      </c>
      <c r="G252" s="2" t="s">
        <v>33</v>
      </c>
      <c r="H252" s="2">
        <v>731.0</v>
      </c>
      <c r="I252" s="2">
        <v>24.0</v>
      </c>
      <c r="J252" s="2" t="s">
        <v>42</v>
      </c>
      <c r="K252" s="2" t="s">
        <v>24</v>
      </c>
      <c r="L252" s="2" t="s">
        <v>28</v>
      </c>
      <c r="M252" s="2" t="s">
        <v>20</v>
      </c>
    </row>
    <row r="253">
      <c r="A253" s="4" t="s">
        <v>282</v>
      </c>
      <c r="B253" s="4">
        <v>33.0</v>
      </c>
      <c r="C253" s="4" t="s">
        <v>31</v>
      </c>
      <c r="D253" s="5">
        <v>24060.0</v>
      </c>
      <c r="E253" s="4" t="s">
        <v>22</v>
      </c>
      <c r="F253" s="4">
        <v>130448.0</v>
      </c>
      <c r="G253" s="4" t="s">
        <v>23</v>
      </c>
      <c r="H253" s="4">
        <v>567.0</v>
      </c>
      <c r="I253" s="4">
        <v>12.0</v>
      </c>
      <c r="J253" s="4" t="s">
        <v>42</v>
      </c>
      <c r="K253" s="4" t="s">
        <v>18</v>
      </c>
      <c r="L253" s="4" t="s">
        <v>34</v>
      </c>
      <c r="M253" s="4" t="s">
        <v>20</v>
      </c>
    </row>
    <row r="254">
      <c r="A254" s="2" t="s">
        <v>283</v>
      </c>
      <c r="B254" s="2">
        <v>20.0</v>
      </c>
      <c r="C254" s="2" t="s">
        <v>31</v>
      </c>
      <c r="D254" s="3">
        <v>53303.0</v>
      </c>
      <c r="E254" s="2" t="s">
        <v>26</v>
      </c>
      <c r="F254" s="2">
        <v>70138.0</v>
      </c>
      <c r="G254" s="2" t="s">
        <v>16</v>
      </c>
      <c r="H254" s="2">
        <v>334.0</v>
      </c>
      <c r="I254" s="2">
        <v>12.0</v>
      </c>
      <c r="J254" s="2" t="s">
        <v>45</v>
      </c>
      <c r="K254" s="2" t="s">
        <v>18</v>
      </c>
      <c r="L254" s="2" t="s">
        <v>28</v>
      </c>
      <c r="M254" s="2" t="s">
        <v>20</v>
      </c>
    </row>
    <row r="255">
      <c r="A255" s="4" t="s">
        <v>284</v>
      </c>
      <c r="B255" s="4">
        <v>37.0</v>
      </c>
      <c r="C255" s="4" t="s">
        <v>31</v>
      </c>
      <c r="D255" s="5">
        <v>49711.0</v>
      </c>
      <c r="E255" s="4" t="s">
        <v>22</v>
      </c>
      <c r="F255" s="4">
        <v>193895.0</v>
      </c>
      <c r="G255" s="4" t="s">
        <v>16</v>
      </c>
      <c r="H255" s="4">
        <v>793.0</v>
      </c>
      <c r="I255" s="4">
        <v>6.0</v>
      </c>
      <c r="J255" s="4" t="s">
        <v>27</v>
      </c>
      <c r="K255" s="4" t="s">
        <v>24</v>
      </c>
      <c r="L255" s="4" t="s">
        <v>28</v>
      </c>
      <c r="M255" s="4" t="s">
        <v>20</v>
      </c>
    </row>
    <row r="256">
      <c r="A256" s="2" t="s">
        <v>285</v>
      </c>
      <c r="B256" s="2">
        <v>41.0</v>
      </c>
      <c r="C256" s="2" t="s">
        <v>31</v>
      </c>
      <c r="D256" s="3">
        <v>83340.0</v>
      </c>
      <c r="E256" s="2" t="s">
        <v>22</v>
      </c>
      <c r="F256" s="2">
        <v>188280.0</v>
      </c>
      <c r="G256" s="2" t="s">
        <v>16</v>
      </c>
      <c r="H256" s="2">
        <v>768.0</v>
      </c>
      <c r="I256" s="2">
        <v>12.0</v>
      </c>
      <c r="J256" s="2" t="s">
        <v>45</v>
      </c>
      <c r="K256" s="2" t="s">
        <v>24</v>
      </c>
      <c r="L256" s="2" t="s">
        <v>19</v>
      </c>
      <c r="M256" s="2" t="s">
        <v>20</v>
      </c>
    </row>
    <row r="257">
      <c r="A257" s="4" t="s">
        <v>286</v>
      </c>
      <c r="B257" s="4">
        <v>50.0</v>
      </c>
      <c r="C257" s="4" t="s">
        <v>14</v>
      </c>
      <c r="D257" s="5">
        <v>112974.0</v>
      </c>
      <c r="E257" s="4" t="s">
        <v>26</v>
      </c>
      <c r="F257" s="4">
        <v>74061.0</v>
      </c>
      <c r="G257" s="4" t="s">
        <v>23</v>
      </c>
      <c r="H257" s="4">
        <v>624.0</v>
      </c>
      <c r="I257" s="4">
        <v>12.0</v>
      </c>
      <c r="J257" s="4" t="s">
        <v>17</v>
      </c>
      <c r="K257" s="4" t="s">
        <v>24</v>
      </c>
      <c r="L257" s="4" t="s">
        <v>19</v>
      </c>
      <c r="M257" s="4" t="s">
        <v>20</v>
      </c>
    </row>
    <row r="258">
      <c r="A258" s="2" t="s">
        <v>287</v>
      </c>
      <c r="B258" s="2">
        <v>41.0</v>
      </c>
      <c r="C258" s="2" t="s">
        <v>14</v>
      </c>
      <c r="D258" s="3">
        <v>77728.0</v>
      </c>
      <c r="E258" s="2" t="s">
        <v>15</v>
      </c>
      <c r="F258" s="2">
        <v>181731.0</v>
      </c>
      <c r="G258" s="2" t="s">
        <v>33</v>
      </c>
      <c r="H258" s="2">
        <v>603.0</v>
      </c>
      <c r="I258" s="2">
        <v>3.0</v>
      </c>
      <c r="J258" s="2" t="s">
        <v>42</v>
      </c>
      <c r="K258" s="2" t="s">
        <v>24</v>
      </c>
      <c r="L258" s="2" t="s">
        <v>19</v>
      </c>
      <c r="M258" s="2" t="s">
        <v>20</v>
      </c>
    </row>
    <row r="259">
      <c r="A259" s="4" t="s">
        <v>288</v>
      </c>
      <c r="B259" s="4">
        <v>28.0</v>
      </c>
      <c r="C259" s="4" t="s">
        <v>14</v>
      </c>
      <c r="D259" s="5">
        <v>21246.0</v>
      </c>
      <c r="E259" s="4" t="s">
        <v>22</v>
      </c>
      <c r="F259" s="4">
        <v>121376.0</v>
      </c>
      <c r="G259" s="4" t="s">
        <v>23</v>
      </c>
      <c r="H259" s="4">
        <v>575.0</v>
      </c>
      <c r="I259" s="4">
        <v>3.0</v>
      </c>
      <c r="J259" s="4" t="s">
        <v>27</v>
      </c>
      <c r="K259" s="4" t="s">
        <v>18</v>
      </c>
      <c r="L259" s="4" t="s">
        <v>34</v>
      </c>
      <c r="M259" s="4" t="s">
        <v>20</v>
      </c>
    </row>
    <row r="260">
      <c r="A260" s="2" t="s">
        <v>289</v>
      </c>
      <c r="B260" s="2">
        <v>25.0</v>
      </c>
      <c r="C260" s="2" t="s">
        <v>14</v>
      </c>
      <c r="D260" s="3">
        <v>137796.0</v>
      </c>
      <c r="E260" s="2" t="s">
        <v>22</v>
      </c>
      <c r="F260" s="2">
        <v>182962.0</v>
      </c>
      <c r="G260" s="2" t="s">
        <v>23</v>
      </c>
      <c r="H260" s="2">
        <v>500.0</v>
      </c>
      <c r="I260" s="2">
        <v>12.0</v>
      </c>
      <c r="J260" s="2" t="s">
        <v>17</v>
      </c>
      <c r="K260" s="2" t="s">
        <v>24</v>
      </c>
      <c r="L260" s="2" t="s">
        <v>19</v>
      </c>
      <c r="M260" s="2" t="s">
        <v>20</v>
      </c>
    </row>
    <row r="261">
      <c r="A261" s="4" t="s">
        <v>290</v>
      </c>
      <c r="B261" s="4">
        <v>53.0</v>
      </c>
      <c r="C261" s="4" t="s">
        <v>31</v>
      </c>
      <c r="D261" s="5">
        <v>102263.0</v>
      </c>
      <c r="E261" s="4" t="s">
        <v>22</v>
      </c>
      <c r="F261" s="4">
        <v>99134.0</v>
      </c>
      <c r="G261" s="4" t="s">
        <v>16</v>
      </c>
      <c r="H261" s="4">
        <v>744.0</v>
      </c>
      <c r="I261" s="4">
        <v>6.0</v>
      </c>
      <c r="J261" s="4" t="s">
        <v>17</v>
      </c>
      <c r="K261" s="4" t="s">
        <v>24</v>
      </c>
      <c r="L261" s="4" t="s">
        <v>19</v>
      </c>
      <c r="M261" s="4" t="s">
        <v>20</v>
      </c>
    </row>
    <row r="262">
      <c r="A262" s="2" t="s">
        <v>291</v>
      </c>
      <c r="B262" s="2">
        <v>55.0</v>
      </c>
      <c r="C262" s="2" t="s">
        <v>31</v>
      </c>
      <c r="D262" s="3">
        <v>145090.0</v>
      </c>
      <c r="E262" s="2" t="s">
        <v>15</v>
      </c>
      <c r="F262" s="2">
        <v>67055.0</v>
      </c>
      <c r="G262" s="2" t="s">
        <v>33</v>
      </c>
      <c r="H262" s="2">
        <v>623.0</v>
      </c>
      <c r="I262" s="2">
        <v>3.0</v>
      </c>
      <c r="J262" s="2" t="s">
        <v>17</v>
      </c>
      <c r="K262" s="2" t="s">
        <v>24</v>
      </c>
      <c r="L262" s="2" t="s">
        <v>19</v>
      </c>
      <c r="M262" s="2" t="s">
        <v>20</v>
      </c>
    </row>
    <row r="263">
      <c r="A263" s="4" t="s">
        <v>292</v>
      </c>
      <c r="B263" s="4">
        <v>57.0</v>
      </c>
      <c r="C263" s="4" t="s">
        <v>31</v>
      </c>
      <c r="D263" s="5">
        <v>21302.0</v>
      </c>
      <c r="E263" s="4" t="s">
        <v>22</v>
      </c>
      <c r="F263" s="4">
        <v>39508.0</v>
      </c>
      <c r="G263" s="4" t="s">
        <v>33</v>
      </c>
      <c r="H263" s="4">
        <v>334.0</v>
      </c>
      <c r="I263" s="4">
        <v>12.0</v>
      </c>
      <c r="J263" s="4" t="s">
        <v>45</v>
      </c>
      <c r="K263" s="4" t="s">
        <v>18</v>
      </c>
      <c r="L263" s="4" t="s">
        <v>34</v>
      </c>
      <c r="M263" s="4" t="s">
        <v>20</v>
      </c>
    </row>
    <row r="264">
      <c r="A264" s="2" t="s">
        <v>293</v>
      </c>
      <c r="B264" s="2">
        <v>37.0</v>
      </c>
      <c r="C264" s="2" t="s">
        <v>14</v>
      </c>
      <c r="D264" s="3">
        <v>77506.0</v>
      </c>
      <c r="E264" s="2" t="s">
        <v>15</v>
      </c>
      <c r="F264" s="2">
        <v>193359.0</v>
      </c>
      <c r="G264" s="2" t="s">
        <v>16</v>
      </c>
      <c r="H264" s="2">
        <v>781.0</v>
      </c>
      <c r="I264" s="2">
        <v>12.0</v>
      </c>
      <c r="J264" s="2" t="s">
        <v>42</v>
      </c>
      <c r="K264" s="2" t="s">
        <v>24</v>
      </c>
      <c r="L264" s="2" t="s">
        <v>19</v>
      </c>
      <c r="M264" s="2" t="s">
        <v>20</v>
      </c>
    </row>
    <row r="265">
      <c r="A265" s="4" t="s">
        <v>294</v>
      </c>
      <c r="B265" s="4">
        <v>52.0</v>
      </c>
      <c r="C265" s="4" t="s">
        <v>14</v>
      </c>
      <c r="D265" s="5">
        <v>51157.0</v>
      </c>
      <c r="E265" s="4" t="s">
        <v>26</v>
      </c>
      <c r="F265" s="4">
        <v>178056.0</v>
      </c>
      <c r="G265" s="4" t="s">
        <v>33</v>
      </c>
      <c r="H265" s="4">
        <v>779.0</v>
      </c>
      <c r="I265" s="4">
        <v>24.0</v>
      </c>
      <c r="J265" s="4" t="s">
        <v>17</v>
      </c>
      <c r="K265" s="4" t="s">
        <v>24</v>
      </c>
      <c r="L265" s="4" t="s">
        <v>28</v>
      </c>
      <c r="M265" s="4" t="s">
        <v>20</v>
      </c>
    </row>
    <row r="266">
      <c r="A266" s="2" t="s">
        <v>295</v>
      </c>
      <c r="B266" s="2">
        <v>42.0</v>
      </c>
      <c r="C266" s="2" t="s">
        <v>31</v>
      </c>
      <c r="D266" s="3">
        <v>64917.0</v>
      </c>
      <c r="E266" s="2" t="s">
        <v>22</v>
      </c>
      <c r="F266" s="2">
        <v>130169.0</v>
      </c>
      <c r="G266" s="2" t="s">
        <v>23</v>
      </c>
      <c r="H266" s="2">
        <v>364.0</v>
      </c>
      <c r="I266" s="2">
        <v>6.0</v>
      </c>
      <c r="J266" s="2" t="s">
        <v>42</v>
      </c>
      <c r="K266" s="2" t="s">
        <v>24</v>
      </c>
      <c r="L266" s="2" t="s">
        <v>28</v>
      </c>
      <c r="M266" s="2" t="s">
        <v>20</v>
      </c>
    </row>
    <row r="267">
      <c r="A267" s="4" t="s">
        <v>296</v>
      </c>
      <c r="B267" s="4">
        <v>52.0</v>
      </c>
      <c r="C267" s="4" t="s">
        <v>31</v>
      </c>
      <c r="D267" s="5">
        <v>106646.0</v>
      </c>
      <c r="E267" s="4" t="s">
        <v>26</v>
      </c>
      <c r="F267" s="4">
        <v>28125.0</v>
      </c>
      <c r="G267" s="4" t="s">
        <v>23</v>
      </c>
      <c r="H267" s="4">
        <v>307.0</v>
      </c>
      <c r="I267" s="4">
        <v>24.0</v>
      </c>
      <c r="J267" s="4" t="s">
        <v>45</v>
      </c>
      <c r="K267" s="4" t="s">
        <v>18</v>
      </c>
      <c r="L267" s="4" t="s">
        <v>19</v>
      </c>
      <c r="M267" s="4" t="s">
        <v>20</v>
      </c>
    </row>
    <row r="268">
      <c r="A268" s="2" t="s">
        <v>297</v>
      </c>
      <c r="B268" s="2">
        <v>42.0</v>
      </c>
      <c r="C268" s="2" t="s">
        <v>14</v>
      </c>
      <c r="D268" s="3">
        <v>93122.0</v>
      </c>
      <c r="E268" s="2" t="s">
        <v>26</v>
      </c>
      <c r="F268" s="2">
        <v>56059.0</v>
      </c>
      <c r="G268" s="2" t="s">
        <v>33</v>
      </c>
      <c r="H268" s="2">
        <v>600.0</v>
      </c>
      <c r="I268" s="2">
        <v>6.0</v>
      </c>
      <c r="J268" s="2" t="s">
        <v>17</v>
      </c>
      <c r="K268" s="2" t="s">
        <v>24</v>
      </c>
      <c r="L268" s="2" t="s">
        <v>19</v>
      </c>
      <c r="M268" s="2" t="s">
        <v>20</v>
      </c>
    </row>
    <row r="269">
      <c r="A269" s="4" t="s">
        <v>298</v>
      </c>
      <c r="B269" s="4">
        <v>46.0</v>
      </c>
      <c r="C269" s="4" t="s">
        <v>14</v>
      </c>
      <c r="D269" s="5">
        <v>34519.0</v>
      </c>
      <c r="E269" s="4" t="s">
        <v>22</v>
      </c>
      <c r="F269" s="4">
        <v>123409.0</v>
      </c>
      <c r="G269" s="4" t="s">
        <v>33</v>
      </c>
      <c r="H269" s="4">
        <v>642.0</v>
      </c>
      <c r="I269" s="4">
        <v>3.0</v>
      </c>
      <c r="J269" s="4" t="s">
        <v>45</v>
      </c>
      <c r="K269" s="4" t="s">
        <v>24</v>
      </c>
      <c r="L269" s="4" t="s">
        <v>28</v>
      </c>
      <c r="M269" s="4" t="s">
        <v>20</v>
      </c>
    </row>
    <row r="270">
      <c r="A270" s="2" t="s">
        <v>299</v>
      </c>
      <c r="B270" s="2">
        <v>35.0</v>
      </c>
      <c r="C270" s="2" t="s">
        <v>31</v>
      </c>
      <c r="D270" s="3">
        <v>90910.0</v>
      </c>
      <c r="E270" s="2" t="s">
        <v>26</v>
      </c>
      <c r="F270" s="2">
        <v>168159.0</v>
      </c>
      <c r="G270" s="2" t="s">
        <v>23</v>
      </c>
      <c r="H270" s="2">
        <v>730.0</v>
      </c>
      <c r="I270" s="2">
        <v>6.0</v>
      </c>
      <c r="J270" s="2" t="s">
        <v>45</v>
      </c>
      <c r="K270" s="2" t="s">
        <v>24</v>
      </c>
      <c r="L270" s="2" t="s">
        <v>19</v>
      </c>
      <c r="M270" s="2" t="s">
        <v>20</v>
      </c>
    </row>
    <row r="271">
      <c r="A271" s="4" t="s">
        <v>300</v>
      </c>
      <c r="B271" s="4">
        <v>35.0</v>
      </c>
      <c r="C271" s="4" t="s">
        <v>31</v>
      </c>
      <c r="D271" s="5">
        <v>130430.0</v>
      </c>
      <c r="E271" s="4" t="s">
        <v>15</v>
      </c>
      <c r="F271" s="4">
        <v>25704.0</v>
      </c>
      <c r="G271" s="4" t="s">
        <v>16</v>
      </c>
      <c r="H271" s="4">
        <v>723.0</v>
      </c>
      <c r="I271" s="4">
        <v>12.0</v>
      </c>
      <c r="J271" s="4" t="s">
        <v>42</v>
      </c>
      <c r="K271" s="4" t="s">
        <v>24</v>
      </c>
      <c r="L271" s="4" t="s">
        <v>19</v>
      </c>
      <c r="M271" s="4" t="s">
        <v>20</v>
      </c>
    </row>
    <row r="272">
      <c r="A272" s="2" t="s">
        <v>301</v>
      </c>
      <c r="B272" s="2">
        <v>19.0</v>
      </c>
      <c r="C272" s="2" t="s">
        <v>14</v>
      </c>
      <c r="D272" s="3">
        <v>81324.0</v>
      </c>
      <c r="E272" s="2" t="s">
        <v>26</v>
      </c>
      <c r="F272" s="2">
        <v>131279.0</v>
      </c>
      <c r="G272" s="2" t="s">
        <v>16</v>
      </c>
      <c r="H272" s="2">
        <v>631.0</v>
      </c>
      <c r="I272" s="2">
        <v>12.0</v>
      </c>
      <c r="J272" s="2" t="s">
        <v>17</v>
      </c>
      <c r="K272" s="2" t="s">
        <v>18</v>
      </c>
      <c r="L272" s="2" t="s">
        <v>19</v>
      </c>
      <c r="M272" s="2" t="s">
        <v>20</v>
      </c>
    </row>
    <row r="273">
      <c r="A273" s="4" t="s">
        <v>302</v>
      </c>
      <c r="B273" s="4">
        <v>52.0</v>
      </c>
      <c r="C273" s="4" t="s">
        <v>31</v>
      </c>
      <c r="D273" s="5">
        <v>15408.0</v>
      </c>
      <c r="E273" s="4" t="s">
        <v>15</v>
      </c>
      <c r="F273" s="4">
        <v>178280.0</v>
      </c>
      <c r="G273" s="4" t="s">
        <v>33</v>
      </c>
      <c r="H273" s="4">
        <v>737.0</v>
      </c>
      <c r="I273" s="4">
        <v>6.0</v>
      </c>
      <c r="J273" s="4" t="s">
        <v>45</v>
      </c>
      <c r="K273" s="4" t="s">
        <v>24</v>
      </c>
      <c r="L273" s="4" t="s">
        <v>34</v>
      </c>
      <c r="M273" s="4" t="s">
        <v>20</v>
      </c>
    </row>
    <row r="274">
      <c r="A274" s="2" t="s">
        <v>303</v>
      </c>
      <c r="B274" s="2">
        <v>33.0</v>
      </c>
      <c r="C274" s="2" t="s">
        <v>31</v>
      </c>
      <c r="D274" s="3">
        <v>69379.0</v>
      </c>
      <c r="E274" s="2" t="s">
        <v>15</v>
      </c>
      <c r="F274" s="2">
        <v>138516.0</v>
      </c>
      <c r="G274" s="2" t="s">
        <v>16</v>
      </c>
      <c r="H274" s="2">
        <v>473.0</v>
      </c>
      <c r="I274" s="2">
        <v>6.0</v>
      </c>
      <c r="J274" s="2" t="s">
        <v>17</v>
      </c>
      <c r="K274" s="2" t="s">
        <v>18</v>
      </c>
      <c r="L274" s="2" t="s">
        <v>28</v>
      </c>
      <c r="M274" s="2" t="s">
        <v>20</v>
      </c>
    </row>
    <row r="275">
      <c r="A275" s="4" t="s">
        <v>304</v>
      </c>
      <c r="B275" s="4">
        <v>58.0</v>
      </c>
      <c r="C275" s="4" t="s">
        <v>31</v>
      </c>
      <c r="D275" s="5">
        <v>35053.0</v>
      </c>
      <c r="E275" s="4" t="s">
        <v>15</v>
      </c>
      <c r="F275" s="4">
        <v>190954.0</v>
      </c>
      <c r="G275" s="4" t="s">
        <v>16</v>
      </c>
      <c r="H275" s="4">
        <v>826.0</v>
      </c>
      <c r="I275" s="4">
        <v>6.0</v>
      </c>
      <c r="J275" s="4" t="s">
        <v>42</v>
      </c>
      <c r="K275" s="4" t="s">
        <v>24</v>
      </c>
      <c r="L275" s="4" t="s">
        <v>28</v>
      </c>
      <c r="M275" s="4" t="s">
        <v>20</v>
      </c>
    </row>
    <row r="276">
      <c r="A276" s="2" t="s">
        <v>305</v>
      </c>
      <c r="B276" s="2">
        <v>53.0</v>
      </c>
      <c r="C276" s="2" t="s">
        <v>14</v>
      </c>
      <c r="D276" s="3">
        <v>141994.0</v>
      </c>
      <c r="E276" s="2" t="s">
        <v>26</v>
      </c>
      <c r="F276" s="2">
        <v>176995.0</v>
      </c>
      <c r="G276" s="2" t="s">
        <v>16</v>
      </c>
      <c r="H276" s="2">
        <v>325.0</v>
      </c>
      <c r="I276" s="2">
        <v>24.0</v>
      </c>
      <c r="J276" s="2" t="s">
        <v>45</v>
      </c>
      <c r="K276" s="2" t="s">
        <v>18</v>
      </c>
      <c r="L276" s="2" t="s">
        <v>19</v>
      </c>
      <c r="M276" s="2" t="s">
        <v>20</v>
      </c>
    </row>
    <row r="277">
      <c r="A277" s="4" t="s">
        <v>306</v>
      </c>
      <c r="B277" s="4">
        <v>50.0</v>
      </c>
      <c r="C277" s="4" t="s">
        <v>14</v>
      </c>
      <c r="D277" s="5">
        <v>108723.0</v>
      </c>
      <c r="E277" s="4" t="s">
        <v>15</v>
      </c>
      <c r="F277" s="4">
        <v>134044.0</v>
      </c>
      <c r="G277" s="4" t="s">
        <v>16</v>
      </c>
      <c r="H277" s="4">
        <v>705.0</v>
      </c>
      <c r="I277" s="4">
        <v>6.0</v>
      </c>
      <c r="J277" s="4" t="s">
        <v>42</v>
      </c>
      <c r="K277" s="4" t="s">
        <v>24</v>
      </c>
      <c r="L277" s="4" t="s">
        <v>19</v>
      </c>
      <c r="M277" s="4" t="s">
        <v>20</v>
      </c>
    </row>
    <row r="278">
      <c r="A278" s="2" t="s">
        <v>307</v>
      </c>
      <c r="B278" s="2">
        <v>21.0</v>
      </c>
      <c r="C278" s="2" t="s">
        <v>14</v>
      </c>
      <c r="D278" s="3">
        <v>61356.0</v>
      </c>
      <c r="E278" s="2" t="s">
        <v>15</v>
      </c>
      <c r="F278" s="2">
        <v>49165.0</v>
      </c>
      <c r="G278" s="2" t="s">
        <v>23</v>
      </c>
      <c r="H278" s="2">
        <v>531.0</v>
      </c>
      <c r="I278" s="2">
        <v>3.0</v>
      </c>
      <c r="J278" s="2" t="s">
        <v>17</v>
      </c>
      <c r="K278" s="2" t="s">
        <v>24</v>
      </c>
      <c r="L278" s="2" t="s">
        <v>28</v>
      </c>
      <c r="M278" s="2" t="s">
        <v>20</v>
      </c>
    </row>
    <row r="279">
      <c r="A279" s="4" t="s">
        <v>308</v>
      </c>
      <c r="B279" s="4">
        <v>50.0</v>
      </c>
      <c r="C279" s="4" t="s">
        <v>14</v>
      </c>
      <c r="D279" s="5">
        <v>20789.0</v>
      </c>
      <c r="E279" s="4" t="s">
        <v>26</v>
      </c>
      <c r="F279" s="4">
        <v>87203.0</v>
      </c>
      <c r="G279" s="4" t="s">
        <v>33</v>
      </c>
      <c r="H279" s="4">
        <v>832.0</v>
      </c>
      <c r="I279" s="4">
        <v>24.0</v>
      </c>
      <c r="J279" s="4" t="s">
        <v>17</v>
      </c>
      <c r="K279" s="4" t="s">
        <v>18</v>
      </c>
      <c r="L279" s="4" t="s">
        <v>34</v>
      </c>
      <c r="M279" s="4" t="s">
        <v>20</v>
      </c>
    </row>
    <row r="280">
      <c r="A280" s="2" t="s">
        <v>309</v>
      </c>
      <c r="B280" s="2">
        <v>31.0</v>
      </c>
      <c r="C280" s="2" t="s">
        <v>14</v>
      </c>
      <c r="D280" s="3">
        <v>107720.0</v>
      </c>
      <c r="E280" s="2" t="s">
        <v>22</v>
      </c>
      <c r="F280" s="2">
        <v>24114.0</v>
      </c>
      <c r="G280" s="2" t="s">
        <v>16</v>
      </c>
      <c r="H280" s="2">
        <v>849.0</v>
      </c>
      <c r="I280" s="2">
        <v>24.0</v>
      </c>
      <c r="J280" s="2" t="s">
        <v>42</v>
      </c>
      <c r="K280" s="2" t="s">
        <v>24</v>
      </c>
      <c r="L280" s="2" t="s">
        <v>19</v>
      </c>
      <c r="M280" s="2" t="s">
        <v>20</v>
      </c>
    </row>
    <row r="281">
      <c r="A281" s="4" t="s">
        <v>310</v>
      </c>
      <c r="B281" s="4">
        <v>38.0</v>
      </c>
      <c r="C281" s="4" t="s">
        <v>14</v>
      </c>
      <c r="D281" s="5">
        <v>76656.0</v>
      </c>
      <c r="E281" s="4" t="s">
        <v>22</v>
      </c>
      <c r="F281" s="4">
        <v>56321.0</v>
      </c>
      <c r="G281" s="4" t="s">
        <v>16</v>
      </c>
      <c r="H281" s="4">
        <v>804.0</v>
      </c>
      <c r="I281" s="4">
        <v>6.0</v>
      </c>
      <c r="J281" s="4" t="s">
        <v>27</v>
      </c>
      <c r="K281" s="4" t="s">
        <v>24</v>
      </c>
      <c r="L281" s="4" t="s">
        <v>19</v>
      </c>
      <c r="M281" s="4" t="s">
        <v>20</v>
      </c>
    </row>
    <row r="282">
      <c r="A282" s="2" t="s">
        <v>311</v>
      </c>
      <c r="B282" s="2">
        <v>37.0</v>
      </c>
      <c r="C282" s="2" t="s">
        <v>14</v>
      </c>
      <c r="D282" s="3">
        <v>54028.0</v>
      </c>
      <c r="E282" s="2" t="s">
        <v>22</v>
      </c>
      <c r="F282" s="2">
        <v>93297.0</v>
      </c>
      <c r="G282" s="2" t="s">
        <v>16</v>
      </c>
      <c r="H282" s="2">
        <v>478.0</v>
      </c>
      <c r="I282" s="2">
        <v>3.0</v>
      </c>
      <c r="J282" s="2" t="s">
        <v>45</v>
      </c>
      <c r="K282" s="2" t="s">
        <v>18</v>
      </c>
      <c r="L282" s="2" t="s">
        <v>28</v>
      </c>
      <c r="M282" s="2" t="s">
        <v>20</v>
      </c>
    </row>
    <row r="283">
      <c r="A283" s="4" t="s">
        <v>312</v>
      </c>
      <c r="B283" s="4">
        <v>25.0</v>
      </c>
      <c r="C283" s="4" t="s">
        <v>31</v>
      </c>
      <c r="D283" s="5">
        <v>74484.0</v>
      </c>
      <c r="E283" s="4" t="s">
        <v>22</v>
      </c>
      <c r="F283" s="4">
        <v>116652.0</v>
      </c>
      <c r="G283" s="4" t="s">
        <v>33</v>
      </c>
      <c r="H283" s="4">
        <v>431.0</v>
      </c>
      <c r="I283" s="4">
        <v>24.0</v>
      </c>
      <c r="J283" s="4" t="s">
        <v>17</v>
      </c>
      <c r="K283" s="4" t="s">
        <v>24</v>
      </c>
      <c r="L283" s="4" t="s">
        <v>19</v>
      </c>
      <c r="M283" s="4" t="s">
        <v>20</v>
      </c>
    </row>
    <row r="284">
      <c r="A284" s="2" t="s">
        <v>313</v>
      </c>
      <c r="B284" s="2">
        <v>24.0</v>
      </c>
      <c r="C284" s="2" t="s">
        <v>31</v>
      </c>
      <c r="D284" s="3">
        <v>42154.0</v>
      </c>
      <c r="E284" s="2" t="s">
        <v>22</v>
      </c>
      <c r="F284" s="2">
        <v>119304.0</v>
      </c>
      <c r="G284" s="2" t="s">
        <v>23</v>
      </c>
      <c r="H284" s="2">
        <v>754.0</v>
      </c>
      <c r="I284" s="2">
        <v>12.0</v>
      </c>
      <c r="J284" s="2" t="s">
        <v>17</v>
      </c>
      <c r="K284" s="2" t="s">
        <v>24</v>
      </c>
      <c r="L284" s="2" t="s">
        <v>28</v>
      </c>
      <c r="M284" s="2" t="s">
        <v>20</v>
      </c>
    </row>
    <row r="285">
      <c r="A285" s="4" t="s">
        <v>314</v>
      </c>
      <c r="B285" s="4">
        <v>20.0</v>
      </c>
      <c r="C285" s="4" t="s">
        <v>31</v>
      </c>
      <c r="D285" s="5">
        <v>12336.0</v>
      </c>
      <c r="E285" s="4" t="s">
        <v>26</v>
      </c>
      <c r="F285" s="4">
        <v>176498.0</v>
      </c>
      <c r="G285" s="4" t="s">
        <v>16</v>
      </c>
      <c r="H285" s="4">
        <v>647.0</v>
      </c>
      <c r="I285" s="4">
        <v>24.0</v>
      </c>
      <c r="J285" s="4" t="s">
        <v>45</v>
      </c>
      <c r="K285" s="4" t="s">
        <v>18</v>
      </c>
      <c r="L285" s="4" t="s">
        <v>34</v>
      </c>
      <c r="M285" s="4" t="s">
        <v>20</v>
      </c>
    </row>
    <row r="286">
      <c r="A286" s="2" t="s">
        <v>315</v>
      </c>
      <c r="B286" s="2">
        <v>34.0</v>
      </c>
      <c r="C286" s="2" t="s">
        <v>31</v>
      </c>
      <c r="D286" s="3">
        <v>113677.0</v>
      </c>
      <c r="E286" s="2" t="s">
        <v>22</v>
      </c>
      <c r="F286" s="2">
        <v>37772.0</v>
      </c>
      <c r="G286" s="2" t="s">
        <v>33</v>
      </c>
      <c r="H286" s="2">
        <v>839.0</v>
      </c>
      <c r="I286" s="2">
        <v>6.0</v>
      </c>
      <c r="J286" s="2" t="s">
        <v>42</v>
      </c>
      <c r="K286" s="2" t="s">
        <v>24</v>
      </c>
      <c r="L286" s="2" t="s">
        <v>19</v>
      </c>
      <c r="M286" s="2" t="s">
        <v>20</v>
      </c>
    </row>
    <row r="287">
      <c r="A287" s="4" t="s">
        <v>316</v>
      </c>
      <c r="B287" s="4">
        <v>50.0</v>
      </c>
      <c r="C287" s="4" t="s">
        <v>31</v>
      </c>
      <c r="D287" s="5">
        <v>77779.0</v>
      </c>
      <c r="E287" s="4" t="s">
        <v>15</v>
      </c>
      <c r="F287" s="4">
        <v>123754.0</v>
      </c>
      <c r="G287" s="4" t="s">
        <v>33</v>
      </c>
      <c r="H287" s="4">
        <v>705.0</v>
      </c>
      <c r="I287" s="4">
        <v>3.0</v>
      </c>
      <c r="J287" s="4" t="s">
        <v>42</v>
      </c>
      <c r="K287" s="4" t="s">
        <v>24</v>
      </c>
      <c r="L287" s="4" t="s">
        <v>19</v>
      </c>
      <c r="M287" s="4" t="s">
        <v>20</v>
      </c>
    </row>
    <row r="288">
      <c r="A288" s="2" t="s">
        <v>317</v>
      </c>
      <c r="B288" s="2">
        <v>29.0</v>
      </c>
      <c r="C288" s="2" t="s">
        <v>31</v>
      </c>
      <c r="D288" s="3">
        <v>29029.0</v>
      </c>
      <c r="E288" s="2" t="s">
        <v>22</v>
      </c>
      <c r="F288" s="2">
        <v>23712.0</v>
      </c>
      <c r="G288" s="2" t="s">
        <v>33</v>
      </c>
      <c r="H288" s="2">
        <v>375.0</v>
      </c>
      <c r="I288" s="2">
        <v>6.0</v>
      </c>
      <c r="J288" s="2" t="s">
        <v>42</v>
      </c>
      <c r="K288" s="2" t="s">
        <v>18</v>
      </c>
      <c r="L288" s="2" t="s">
        <v>34</v>
      </c>
      <c r="M288" s="2" t="s">
        <v>20</v>
      </c>
    </row>
    <row r="289">
      <c r="A289" s="4" t="s">
        <v>318</v>
      </c>
      <c r="B289" s="4">
        <v>39.0</v>
      </c>
      <c r="C289" s="4" t="s">
        <v>31</v>
      </c>
      <c r="D289" s="5">
        <v>69201.0</v>
      </c>
      <c r="E289" s="4" t="s">
        <v>26</v>
      </c>
      <c r="F289" s="4">
        <v>152439.0</v>
      </c>
      <c r="G289" s="4" t="s">
        <v>33</v>
      </c>
      <c r="H289" s="4">
        <v>791.0</v>
      </c>
      <c r="I289" s="4">
        <v>12.0</v>
      </c>
      <c r="J289" s="4" t="s">
        <v>27</v>
      </c>
      <c r="K289" s="4" t="s">
        <v>24</v>
      </c>
      <c r="L289" s="4" t="s">
        <v>28</v>
      </c>
      <c r="M289" s="4" t="s">
        <v>20</v>
      </c>
    </row>
    <row r="290">
      <c r="A290" s="2" t="s">
        <v>319</v>
      </c>
      <c r="B290" s="2">
        <v>39.0</v>
      </c>
      <c r="C290" s="2" t="s">
        <v>14</v>
      </c>
      <c r="D290" s="3">
        <v>42265.0</v>
      </c>
      <c r="E290" s="2" t="s">
        <v>26</v>
      </c>
      <c r="F290" s="2">
        <v>135142.0</v>
      </c>
      <c r="G290" s="2" t="s">
        <v>16</v>
      </c>
      <c r="H290" s="2">
        <v>493.0</v>
      </c>
      <c r="I290" s="2">
        <v>12.0</v>
      </c>
      <c r="J290" s="2" t="s">
        <v>27</v>
      </c>
      <c r="K290" s="2" t="s">
        <v>18</v>
      </c>
      <c r="L290" s="2" t="s">
        <v>28</v>
      </c>
      <c r="M290" s="2" t="s">
        <v>20</v>
      </c>
    </row>
    <row r="291">
      <c r="A291" s="4" t="s">
        <v>320</v>
      </c>
      <c r="B291" s="4">
        <v>47.0</v>
      </c>
      <c r="C291" s="4" t="s">
        <v>14</v>
      </c>
      <c r="D291" s="5">
        <v>112916.0</v>
      </c>
      <c r="E291" s="4" t="s">
        <v>22</v>
      </c>
      <c r="F291" s="4">
        <v>111736.0</v>
      </c>
      <c r="G291" s="4" t="s">
        <v>33</v>
      </c>
      <c r="H291" s="4">
        <v>461.0</v>
      </c>
      <c r="I291" s="4">
        <v>12.0</v>
      </c>
      <c r="J291" s="4" t="s">
        <v>17</v>
      </c>
      <c r="K291" s="4" t="s">
        <v>24</v>
      </c>
      <c r="L291" s="4" t="s">
        <v>19</v>
      </c>
      <c r="M291" s="4" t="s">
        <v>20</v>
      </c>
    </row>
    <row r="292">
      <c r="A292" s="2" t="s">
        <v>321</v>
      </c>
      <c r="B292" s="2">
        <v>55.0</v>
      </c>
      <c r="C292" s="2" t="s">
        <v>31</v>
      </c>
      <c r="D292" s="3">
        <v>56197.0</v>
      </c>
      <c r="E292" s="2" t="s">
        <v>26</v>
      </c>
      <c r="F292" s="2">
        <v>71924.0</v>
      </c>
      <c r="G292" s="2" t="s">
        <v>16</v>
      </c>
      <c r="H292" s="2">
        <v>646.0</v>
      </c>
      <c r="I292" s="2">
        <v>6.0</v>
      </c>
      <c r="J292" s="2" t="s">
        <v>42</v>
      </c>
      <c r="K292" s="2" t="s">
        <v>18</v>
      </c>
      <c r="L292" s="2" t="s">
        <v>28</v>
      </c>
      <c r="M292" s="2" t="s">
        <v>20</v>
      </c>
    </row>
    <row r="293">
      <c r="A293" s="4" t="s">
        <v>322</v>
      </c>
      <c r="B293" s="4">
        <v>55.0</v>
      </c>
      <c r="C293" s="4" t="s">
        <v>31</v>
      </c>
      <c r="D293" s="5">
        <v>135733.0</v>
      </c>
      <c r="E293" s="4" t="s">
        <v>22</v>
      </c>
      <c r="F293" s="4">
        <v>23726.0</v>
      </c>
      <c r="G293" s="4" t="s">
        <v>33</v>
      </c>
      <c r="H293" s="4">
        <v>660.0</v>
      </c>
      <c r="I293" s="4">
        <v>24.0</v>
      </c>
      <c r="J293" s="4" t="s">
        <v>45</v>
      </c>
      <c r="K293" s="4" t="s">
        <v>24</v>
      </c>
      <c r="L293" s="4" t="s">
        <v>19</v>
      </c>
      <c r="M293" s="4" t="s">
        <v>20</v>
      </c>
    </row>
    <row r="294">
      <c r="A294" s="2" t="s">
        <v>323</v>
      </c>
      <c r="B294" s="2">
        <v>25.0</v>
      </c>
      <c r="C294" s="2" t="s">
        <v>14</v>
      </c>
      <c r="D294" s="3">
        <v>81907.0</v>
      </c>
      <c r="E294" s="2" t="s">
        <v>26</v>
      </c>
      <c r="F294" s="2">
        <v>109152.0</v>
      </c>
      <c r="G294" s="2" t="s">
        <v>33</v>
      </c>
      <c r="H294" s="2">
        <v>386.0</v>
      </c>
      <c r="I294" s="2">
        <v>6.0</v>
      </c>
      <c r="J294" s="2" t="s">
        <v>17</v>
      </c>
      <c r="K294" s="2" t="s">
        <v>18</v>
      </c>
      <c r="L294" s="2" t="s">
        <v>19</v>
      </c>
      <c r="M294" s="2" t="s">
        <v>20</v>
      </c>
    </row>
    <row r="295">
      <c r="A295" s="4" t="s">
        <v>324</v>
      </c>
      <c r="B295" s="4">
        <v>44.0</v>
      </c>
      <c r="C295" s="4" t="s">
        <v>31</v>
      </c>
      <c r="D295" s="5">
        <v>138876.0</v>
      </c>
      <c r="E295" s="4" t="s">
        <v>22</v>
      </c>
      <c r="F295" s="4">
        <v>47723.0</v>
      </c>
      <c r="G295" s="4" t="s">
        <v>33</v>
      </c>
      <c r="H295" s="4">
        <v>561.0</v>
      </c>
      <c r="I295" s="4">
        <v>3.0</v>
      </c>
      <c r="J295" s="4" t="s">
        <v>45</v>
      </c>
      <c r="K295" s="4" t="s">
        <v>24</v>
      </c>
      <c r="L295" s="4" t="s">
        <v>19</v>
      </c>
      <c r="M295" s="4" t="s">
        <v>20</v>
      </c>
    </row>
    <row r="296">
      <c r="A296" s="2" t="s">
        <v>325</v>
      </c>
      <c r="B296" s="2">
        <v>44.0</v>
      </c>
      <c r="C296" s="2" t="s">
        <v>31</v>
      </c>
      <c r="D296" s="3">
        <v>74435.0</v>
      </c>
      <c r="E296" s="2" t="s">
        <v>26</v>
      </c>
      <c r="F296" s="2">
        <v>146969.0</v>
      </c>
      <c r="G296" s="2" t="s">
        <v>23</v>
      </c>
      <c r="H296" s="2">
        <v>513.0</v>
      </c>
      <c r="I296" s="2">
        <v>24.0</v>
      </c>
      <c r="J296" s="2" t="s">
        <v>17</v>
      </c>
      <c r="K296" s="2" t="s">
        <v>18</v>
      </c>
      <c r="L296" s="2" t="s">
        <v>19</v>
      </c>
      <c r="M296" s="2" t="s">
        <v>20</v>
      </c>
    </row>
    <row r="297">
      <c r="A297" s="4" t="s">
        <v>326</v>
      </c>
      <c r="B297" s="4">
        <v>51.0</v>
      </c>
      <c r="C297" s="4" t="s">
        <v>14</v>
      </c>
      <c r="D297" s="5">
        <v>50631.0</v>
      </c>
      <c r="E297" s="4" t="s">
        <v>22</v>
      </c>
      <c r="F297" s="4">
        <v>120494.0</v>
      </c>
      <c r="G297" s="4" t="s">
        <v>16</v>
      </c>
      <c r="H297" s="4">
        <v>561.0</v>
      </c>
      <c r="I297" s="4">
        <v>12.0</v>
      </c>
      <c r="J297" s="4" t="s">
        <v>27</v>
      </c>
      <c r="K297" s="4" t="s">
        <v>18</v>
      </c>
      <c r="L297" s="4" t="s">
        <v>28</v>
      </c>
      <c r="M297" s="4" t="s">
        <v>20</v>
      </c>
    </row>
    <row r="298">
      <c r="A298" s="2" t="s">
        <v>327</v>
      </c>
      <c r="B298" s="2">
        <v>38.0</v>
      </c>
      <c r="C298" s="2" t="s">
        <v>31</v>
      </c>
      <c r="D298" s="3">
        <v>139038.0</v>
      </c>
      <c r="E298" s="2" t="s">
        <v>15</v>
      </c>
      <c r="F298" s="2">
        <v>160180.0</v>
      </c>
      <c r="G298" s="2" t="s">
        <v>23</v>
      </c>
      <c r="H298" s="2">
        <v>582.0</v>
      </c>
      <c r="I298" s="2">
        <v>6.0</v>
      </c>
      <c r="J298" s="2" t="s">
        <v>17</v>
      </c>
      <c r="K298" s="2" t="s">
        <v>24</v>
      </c>
      <c r="L298" s="2" t="s">
        <v>19</v>
      </c>
      <c r="M298" s="2" t="s">
        <v>20</v>
      </c>
    </row>
    <row r="299">
      <c r="A299" s="4" t="s">
        <v>328</v>
      </c>
      <c r="B299" s="4">
        <v>47.0</v>
      </c>
      <c r="C299" s="4" t="s">
        <v>14</v>
      </c>
      <c r="D299" s="5">
        <v>30103.0</v>
      </c>
      <c r="E299" s="4" t="s">
        <v>15</v>
      </c>
      <c r="F299" s="4">
        <v>55643.0</v>
      </c>
      <c r="G299" s="4" t="s">
        <v>33</v>
      </c>
      <c r="H299" s="4">
        <v>766.0</v>
      </c>
      <c r="I299" s="4">
        <v>12.0</v>
      </c>
      <c r="J299" s="4" t="s">
        <v>27</v>
      </c>
      <c r="K299" s="4" t="s">
        <v>24</v>
      </c>
      <c r="L299" s="4" t="s">
        <v>28</v>
      </c>
      <c r="M299" s="4" t="s">
        <v>20</v>
      </c>
    </row>
    <row r="300">
      <c r="A300" s="2" t="s">
        <v>329</v>
      </c>
      <c r="B300" s="2">
        <v>50.0</v>
      </c>
      <c r="C300" s="2" t="s">
        <v>31</v>
      </c>
      <c r="D300" s="3">
        <v>74772.0</v>
      </c>
      <c r="E300" s="2" t="s">
        <v>22</v>
      </c>
      <c r="F300" s="2">
        <v>182396.0</v>
      </c>
      <c r="G300" s="2" t="s">
        <v>33</v>
      </c>
      <c r="H300" s="2">
        <v>679.0</v>
      </c>
      <c r="I300" s="2">
        <v>12.0</v>
      </c>
      <c r="J300" s="2" t="s">
        <v>17</v>
      </c>
      <c r="K300" s="2" t="s">
        <v>24</v>
      </c>
      <c r="L300" s="2" t="s">
        <v>19</v>
      </c>
      <c r="M300" s="2" t="s">
        <v>20</v>
      </c>
    </row>
    <row r="301">
      <c r="A301" s="4" t="s">
        <v>330</v>
      </c>
      <c r="B301" s="4">
        <v>45.0</v>
      </c>
      <c r="C301" s="4" t="s">
        <v>14</v>
      </c>
      <c r="D301" s="5">
        <v>136108.0</v>
      </c>
      <c r="E301" s="4" t="s">
        <v>22</v>
      </c>
      <c r="F301" s="4">
        <v>123896.0</v>
      </c>
      <c r="G301" s="4" t="s">
        <v>16</v>
      </c>
      <c r="H301" s="4">
        <v>661.0</v>
      </c>
      <c r="I301" s="4">
        <v>3.0</v>
      </c>
      <c r="J301" s="4" t="s">
        <v>42</v>
      </c>
      <c r="K301" s="4" t="s">
        <v>24</v>
      </c>
      <c r="L301" s="4" t="s">
        <v>19</v>
      </c>
      <c r="M301" s="4" t="s">
        <v>20</v>
      </c>
    </row>
    <row r="302">
      <c r="A302" s="2" t="s">
        <v>331</v>
      </c>
      <c r="B302" s="2">
        <v>50.0</v>
      </c>
      <c r="C302" s="2" t="s">
        <v>14</v>
      </c>
      <c r="D302" s="3">
        <v>24382.0</v>
      </c>
      <c r="E302" s="2" t="s">
        <v>22</v>
      </c>
      <c r="F302" s="2">
        <v>159999.0</v>
      </c>
      <c r="G302" s="2" t="s">
        <v>16</v>
      </c>
      <c r="H302" s="2">
        <v>748.0</v>
      </c>
      <c r="I302" s="2">
        <v>24.0</v>
      </c>
      <c r="J302" s="2" t="s">
        <v>45</v>
      </c>
      <c r="K302" s="2" t="s">
        <v>18</v>
      </c>
      <c r="L302" s="2" t="s">
        <v>34</v>
      </c>
      <c r="M302" s="2" t="s">
        <v>20</v>
      </c>
    </row>
    <row r="303">
      <c r="A303" s="4" t="s">
        <v>332</v>
      </c>
      <c r="B303" s="4">
        <v>22.0</v>
      </c>
      <c r="C303" s="4" t="s">
        <v>14</v>
      </c>
      <c r="D303" s="5">
        <v>94291.0</v>
      </c>
      <c r="E303" s="4" t="s">
        <v>22</v>
      </c>
      <c r="F303" s="4">
        <v>113680.0</v>
      </c>
      <c r="G303" s="4" t="s">
        <v>16</v>
      </c>
      <c r="H303" s="4">
        <v>740.0</v>
      </c>
      <c r="I303" s="4">
        <v>3.0</v>
      </c>
      <c r="J303" s="4" t="s">
        <v>42</v>
      </c>
      <c r="K303" s="4" t="s">
        <v>24</v>
      </c>
      <c r="L303" s="4" t="s">
        <v>19</v>
      </c>
      <c r="M303" s="4" t="s">
        <v>20</v>
      </c>
    </row>
    <row r="304">
      <c r="A304" s="2" t="s">
        <v>333</v>
      </c>
      <c r="B304" s="2">
        <v>36.0</v>
      </c>
      <c r="C304" s="2" t="s">
        <v>31</v>
      </c>
      <c r="D304" s="3">
        <v>111195.0</v>
      </c>
      <c r="E304" s="2" t="s">
        <v>15</v>
      </c>
      <c r="F304" s="2">
        <v>116546.0</v>
      </c>
      <c r="G304" s="2" t="s">
        <v>33</v>
      </c>
      <c r="H304" s="2">
        <v>392.0</v>
      </c>
      <c r="I304" s="2">
        <v>3.0</v>
      </c>
      <c r="J304" s="2" t="s">
        <v>17</v>
      </c>
      <c r="K304" s="2" t="s">
        <v>24</v>
      </c>
      <c r="L304" s="2" t="s">
        <v>19</v>
      </c>
      <c r="M304" s="2" t="s">
        <v>20</v>
      </c>
    </row>
    <row r="305">
      <c r="A305" s="4" t="s">
        <v>334</v>
      </c>
      <c r="B305" s="4">
        <v>21.0</v>
      </c>
      <c r="C305" s="4" t="s">
        <v>14</v>
      </c>
      <c r="D305" s="5">
        <v>144828.0</v>
      </c>
      <c r="E305" s="4" t="s">
        <v>22</v>
      </c>
      <c r="F305" s="4">
        <v>173515.0</v>
      </c>
      <c r="G305" s="4" t="s">
        <v>33</v>
      </c>
      <c r="H305" s="4">
        <v>723.0</v>
      </c>
      <c r="I305" s="4">
        <v>3.0</v>
      </c>
      <c r="J305" s="4" t="s">
        <v>17</v>
      </c>
      <c r="K305" s="4" t="s">
        <v>24</v>
      </c>
      <c r="L305" s="4" t="s">
        <v>19</v>
      </c>
      <c r="M305" s="4" t="s">
        <v>20</v>
      </c>
    </row>
    <row r="306">
      <c r="A306" s="2" t="s">
        <v>335</v>
      </c>
      <c r="B306" s="2">
        <v>52.0</v>
      </c>
      <c r="C306" s="2" t="s">
        <v>31</v>
      </c>
      <c r="D306" s="3">
        <v>30609.0</v>
      </c>
      <c r="E306" s="2" t="s">
        <v>22</v>
      </c>
      <c r="F306" s="2">
        <v>99973.0</v>
      </c>
      <c r="G306" s="2" t="s">
        <v>16</v>
      </c>
      <c r="H306" s="2">
        <v>441.0</v>
      </c>
      <c r="I306" s="2">
        <v>12.0</v>
      </c>
      <c r="J306" s="2" t="s">
        <v>17</v>
      </c>
      <c r="K306" s="2" t="s">
        <v>18</v>
      </c>
      <c r="L306" s="2" t="s">
        <v>28</v>
      </c>
      <c r="M306" s="2" t="s">
        <v>20</v>
      </c>
    </row>
    <row r="307">
      <c r="A307" s="4" t="s">
        <v>336</v>
      </c>
      <c r="B307" s="4">
        <v>34.0</v>
      </c>
      <c r="C307" s="4" t="s">
        <v>31</v>
      </c>
      <c r="D307" s="5">
        <v>85683.0</v>
      </c>
      <c r="E307" s="4" t="s">
        <v>22</v>
      </c>
      <c r="F307" s="4">
        <v>83449.0</v>
      </c>
      <c r="G307" s="4" t="s">
        <v>23</v>
      </c>
      <c r="H307" s="4">
        <v>590.0</v>
      </c>
      <c r="I307" s="4">
        <v>3.0</v>
      </c>
      <c r="J307" s="4" t="s">
        <v>27</v>
      </c>
      <c r="K307" s="4" t="s">
        <v>24</v>
      </c>
      <c r="L307" s="4" t="s">
        <v>19</v>
      </c>
      <c r="M307" s="4" t="s">
        <v>20</v>
      </c>
    </row>
    <row r="308">
      <c r="A308" s="2" t="s">
        <v>337</v>
      </c>
      <c r="B308" s="2">
        <v>45.0</v>
      </c>
      <c r="C308" s="2" t="s">
        <v>31</v>
      </c>
      <c r="D308" s="3">
        <v>134714.0</v>
      </c>
      <c r="E308" s="2" t="s">
        <v>26</v>
      </c>
      <c r="F308" s="2">
        <v>129834.0</v>
      </c>
      <c r="G308" s="2" t="s">
        <v>33</v>
      </c>
      <c r="H308" s="2">
        <v>731.0</v>
      </c>
      <c r="I308" s="2">
        <v>3.0</v>
      </c>
      <c r="J308" s="2" t="s">
        <v>45</v>
      </c>
      <c r="K308" s="2" t="s">
        <v>24</v>
      </c>
      <c r="L308" s="2" t="s">
        <v>19</v>
      </c>
      <c r="M308" s="2" t="s">
        <v>20</v>
      </c>
    </row>
    <row r="309">
      <c r="A309" s="4" t="s">
        <v>338</v>
      </c>
      <c r="B309" s="4">
        <v>47.0</v>
      </c>
      <c r="C309" s="4" t="s">
        <v>31</v>
      </c>
      <c r="D309" s="5">
        <v>140330.0</v>
      </c>
      <c r="E309" s="4" t="s">
        <v>22</v>
      </c>
      <c r="F309" s="4">
        <v>45537.0</v>
      </c>
      <c r="G309" s="4" t="s">
        <v>33</v>
      </c>
      <c r="H309" s="4">
        <v>348.0</v>
      </c>
      <c r="I309" s="4">
        <v>24.0</v>
      </c>
      <c r="J309" s="4" t="s">
        <v>45</v>
      </c>
      <c r="K309" s="4" t="s">
        <v>24</v>
      </c>
      <c r="L309" s="4" t="s">
        <v>19</v>
      </c>
      <c r="M309" s="4" t="s">
        <v>20</v>
      </c>
    </row>
    <row r="310">
      <c r="A310" s="2" t="s">
        <v>339</v>
      </c>
      <c r="B310" s="2">
        <v>46.0</v>
      </c>
      <c r="C310" s="2" t="s">
        <v>14</v>
      </c>
      <c r="D310" s="3">
        <v>81315.0</v>
      </c>
      <c r="E310" s="2" t="s">
        <v>22</v>
      </c>
      <c r="F310" s="2">
        <v>97576.0</v>
      </c>
      <c r="G310" s="2" t="s">
        <v>23</v>
      </c>
      <c r="H310" s="2">
        <v>601.0</v>
      </c>
      <c r="I310" s="2">
        <v>24.0</v>
      </c>
      <c r="J310" s="2" t="s">
        <v>17</v>
      </c>
      <c r="K310" s="2" t="s">
        <v>24</v>
      </c>
      <c r="L310" s="2" t="s">
        <v>19</v>
      </c>
      <c r="M310" s="2" t="s">
        <v>20</v>
      </c>
    </row>
    <row r="311">
      <c r="A311" s="4" t="s">
        <v>340</v>
      </c>
      <c r="B311" s="4">
        <v>23.0</v>
      </c>
      <c r="C311" s="4" t="s">
        <v>14</v>
      </c>
      <c r="D311" s="5">
        <v>87834.0</v>
      </c>
      <c r="E311" s="4" t="s">
        <v>22</v>
      </c>
      <c r="F311" s="4">
        <v>127522.0</v>
      </c>
      <c r="G311" s="4" t="s">
        <v>23</v>
      </c>
      <c r="H311" s="4">
        <v>489.0</v>
      </c>
      <c r="I311" s="4">
        <v>3.0</v>
      </c>
      <c r="J311" s="4" t="s">
        <v>17</v>
      </c>
      <c r="K311" s="4" t="s">
        <v>24</v>
      </c>
      <c r="L311" s="4" t="s">
        <v>19</v>
      </c>
      <c r="M311" s="4" t="s">
        <v>20</v>
      </c>
    </row>
    <row r="312">
      <c r="A312" s="2" t="s">
        <v>341</v>
      </c>
      <c r="B312" s="2">
        <v>52.0</v>
      </c>
      <c r="C312" s="2" t="s">
        <v>31</v>
      </c>
      <c r="D312" s="3">
        <v>136205.0</v>
      </c>
      <c r="E312" s="2" t="s">
        <v>22</v>
      </c>
      <c r="F312" s="2">
        <v>42612.0</v>
      </c>
      <c r="G312" s="2" t="s">
        <v>23</v>
      </c>
      <c r="H312" s="2">
        <v>435.0</v>
      </c>
      <c r="I312" s="2">
        <v>24.0</v>
      </c>
      <c r="J312" s="2" t="s">
        <v>27</v>
      </c>
      <c r="K312" s="2" t="s">
        <v>24</v>
      </c>
      <c r="L312" s="2" t="s">
        <v>19</v>
      </c>
      <c r="M312" s="2" t="s">
        <v>20</v>
      </c>
    </row>
    <row r="313">
      <c r="A313" s="4" t="s">
        <v>342</v>
      </c>
      <c r="B313" s="4">
        <v>58.0</v>
      </c>
      <c r="C313" s="4" t="s">
        <v>31</v>
      </c>
      <c r="D313" s="5">
        <v>24153.0</v>
      </c>
      <c r="E313" s="4" t="s">
        <v>26</v>
      </c>
      <c r="F313" s="4">
        <v>26471.0</v>
      </c>
      <c r="G313" s="4" t="s">
        <v>16</v>
      </c>
      <c r="H313" s="4">
        <v>703.0</v>
      </c>
      <c r="I313" s="4">
        <v>24.0</v>
      </c>
      <c r="J313" s="4" t="s">
        <v>42</v>
      </c>
      <c r="K313" s="4" t="s">
        <v>18</v>
      </c>
      <c r="L313" s="4" t="s">
        <v>34</v>
      </c>
      <c r="M313" s="4" t="s">
        <v>20</v>
      </c>
    </row>
    <row r="314">
      <c r="A314" s="2" t="s">
        <v>343</v>
      </c>
      <c r="B314" s="2">
        <v>54.0</v>
      </c>
      <c r="C314" s="2" t="s">
        <v>14</v>
      </c>
      <c r="D314" s="3">
        <v>86325.0</v>
      </c>
      <c r="E314" s="2" t="s">
        <v>22</v>
      </c>
      <c r="F314" s="2">
        <v>186703.0</v>
      </c>
      <c r="G314" s="2" t="s">
        <v>23</v>
      </c>
      <c r="H314" s="2">
        <v>640.0</v>
      </c>
      <c r="I314" s="2">
        <v>3.0</v>
      </c>
      <c r="J314" s="2" t="s">
        <v>42</v>
      </c>
      <c r="K314" s="2" t="s">
        <v>24</v>
      </c>
      <c r="L314" s="2" t="s">
        <v>19</v>
      </c>
      <c r="M314" s="2" t="s">
        <v>20</v>
      </c>
    </row>
    <row r="315">
      <c r="A315" s="4" t="s">
        <v>344</v>
      </c>
      <c r="B315" s="4">
        <v>41.0</v>
      </c>
      <c r="C315" s="4" t="s">
        <v>31</v>
      </c>
      <c r="D315" s="5">
        <v>65318.0</v>
      </c>
      <c r="E315" s="4" t="s">
        <v>22</v>
      </c>
      <c r="F315" s="4">
        <v>51348.0</v>
      </c>
      <c r="G315" s="4" t="s">
        <v>23</v>
      </c>
      <c r="H315" s="4">
        <v>617.0</v>
      </c>
      <c r="I315" s="4">
        <v>12.0</v>
      </c>
      <c r="J315" s="4" t="s">
        <v>45</v>
      </c>
      <c r="K315" s="4" t="s">
        <v>24</v>
      </c>
      <c r="L315" s="4" t="s">
        <v>28</v>
      </c>
      <c r="M315" s="4" t="s">
        <v>20</v>
      </c>
    </row>
    <row r="316">
      <c r="A316" s="2" t="s">
        <v>345</v>
      </c>
      <c r="B316" s="2">
        <v>46.0</v>
      </c>
      <c r="C316" s="2" t="s">
        <v>14</v>
      </c>
      <c r="D316" s="3">
        <v>141886.0</v>
      </c>
      <c r="E316" s="2" t="s">
        <v>15</v>
      </c>
      <c r="F316" s="2">
        <v>21177.0</v>
      </c>
      <c r="G316" s="2" t="s">
        <v>33</v>
      </c>
      <c r="H316" s="2">
        <v>662.0</v>
      </c>
      <c r="I316" s="2">
        <v>3.0</v>
      </c>
      <c r="J316" s="2" t="s">
        <v>27</v>
      </c>
      <c r="K316" s="2" t="s">
        <v>24</v>
      </c>
      <c r="L316" s="2" t="s">
        <v>19</v>
      </c>
      <c r="M316" s="2" t="s">
        <v>20</v>
      </c>
    </row>
    <row r="317">
      <c r="A317" s="4" t="s">
        <v>346</v>
      </c>
      <c r="B317" s="4">
        <v>48.0</v>
      </c>
      <c r="C317" s="4" t="s">
        <v>31</v>
      </c>
      <c r="D317" s="5">
        <v>125033.0</v>
      </c>
      <c r="E317" s="4" t="s">
        <v>15</v>
      </c>
      <c r="F317" s="4">
        <v>155832.0</v>
      </c>
      <c r="G317" s="4" t="s">
        <v>23</v>
      </c>
      <c r="H317" s="4">
        <v>681.0</v>
      </c>
      <c r="I317" s="4">
        <v>24.0</v>
      </c>
      <c r="J317" s="4" t="s">
        <v>17</v>
      </c>
      <c r="K317" s="4" t="s">
        <v>24</v>
      </c>
      <c r="L317" s="4" t="s">
        <v>19</v>
      </c>
      <c r="M317" s="4" t="s">
        <v>20</v>
      </c>
    </row>
    <row r="318">
      <c r="A318" s="2" t="s">
        <v>347</v>
      </c>
      <c r="B318" s="2">
        <v>52.0</v>
      </c>
      <c r="C318" s="2" t="s">
        <v>31</v>
      </c>
      <c r="D318" s="3">
        <v>86077.0</v>
      </c>
      <c r="E318" s="2" t="s">
        <v>22</v>
      </c>
      <c r="F318" s="2">
        <v>52779.0</v>
      </c>
      <c r="G318" s="2" t="s">
        <v>33</v>
      </c>
      <c r="H318" s="2">
        <v>532.0</v>
      </c>
      <c r="I318" s="2">
        <v>12.0</v>
      </c>
      <c r="J318" s="2" t="s">
        <v>45</v>
      </c>
      <c r="K318" s="2" t="s">
        <v>24</v>
      </c>
      <c r="L318" s="2" t="s">
        <v>19</v>
      </c>
      <c r="M318" s="2" t="s">
        <v>20</v>
      </c>
    </row>
    <row r="319">
      <c r="A319" s="4" t="s">
        <v>348</v>
      </c>
      <c r="B319" s="4">
        <v>50.0</v>
      </c>
      <c r="C319" s="4" t="s">
        <v>14</v>
      </c>
      <c r="D319" s="5">
        <v>100474.0</v>
      </c>
      <c r="E319" s="4" t="s">
        <v>15</v>
      </c>
      <c r="F319" s="4">
        <v>41636.0</v>
      </c>
      <c r="G319" s="4" t="s">
        <v>16</v>
      </c>
      <c r="H319" s="4">
        <v>643.0</v>
      </c>
      <c r="I319" s="4">
        <v>6.0</v>
      </c>
      <c r="J319" s="4" t="s">
        <v>27</v>
      </c>
      <c r="K319" s="4" t="s">
        <v>24</v>
      </c>
      <c r="L319" s="4" t="s">
        <v>19</v>
      </c>
      <c r="M319" s="4" t="s">
        <v>20</v>
      </c>
    </row>
    <row r="320">
      <c r="A320" s="2" t="s">
        <v>349</v>
      </c>
      <c r="B320" s="2">
        <v>38.0</v>
      </c>
      <c r="C320" s="2" t="s">
        <v>31</v>
      </c>
      <c r="D320" s="3">
        <v>143515.0</v>
      </c>
      <c r="E320" s="2" t="s">
        <v>26</v>
      </c>
      <c r="F320" s="2">
        <v>101889.0</v>
      </c>
      <c r="G320" s="2" t="s">
        <v>16</v>
      </c>
      <c r="H320" s="2">
        <v>848.0</v>
      </c>
      <c r="I320" s="2">
        <v>12.0</v>
      </c>
      <c r="J320" s="2" t="s">
        <v>42</v>
      </c>
      <c r="K320" s="2" t="s">
        <v>18</v>
      </c>
      <c r="L320" s="2" t="s">
        <v>19</v>
      </c>
      <c r="M320" s="2" t="s">
        <v>20</v>
      </c>
    </row>
    <row r="321">
      <c r="A321" s="4" t="s">
        <v>350</v>
      </c>
      <c r="B321" s="4">
        <v>49.0</v>
      </c>
      <c r="C321" s="4" t="s">
        <v>14</v>
      </c>
      <c r="D321" s="5">
        <v>83319.0</v>
      </c>
      <c r="E321" s="4" t="s">
        <v>22</v>
      </c>
      <c r="F321" s="4">
        <v>73551.0</v>
      </c>
      <c r="G321" s="4" t="s">
        <v>16</v>
      </c>
      <c r="H321" s="4">
        <v>828.0</v>
      </c>
      <c r="I321" s="4">
        <v>24.0</v>
      </c>
      <c r="J321" s="4" t="s">
        <v>27</v>
      </c>
      <c r="K321" s="4" t="s">
        <v>24</v>
      </c>
      <c r="L321" s="4" t="s">
        <v>19</v>
      </c>
      <c r="M321" s="4" t="s">
        <v>20</v>
      </c>
    </row>
    <row r="322">
      <c r="A322" s="2" t="s">
        <v>351</v>
      </c>
      <c r="B322" s="2">
        <v>40.0</v>
      </c>
      <c r="C322" s="2" t="s">
        <v>31</v>
      </c>
      <c r="D322" s="3">
        <v>135885.0</v>
      </c>
      <c r="E322" s="2" t="s">
        <v>15</v>
      </c>
      <c r="F322" s="2">
        <v>162628.0</v>
      </c>
      <c r="G322" s="2" t="s">
        <v>16</v>
      </c>
      <c r="H322" s="2">
        <v>482.0</v>
      </c>
      <c r="I322" s="2">
        <v>12.0</v>
      </c>
      <c r="J322" s="2" t="s">
        <v>42</v>
      </c>
      <c r="K322" s="2" t="s">
        <v>18</v>
      </c>
      <c r="L322" s="2" t="s">
        <v>19</v>
      </c>
      <c r="M322" s="2" t="s">
        <v>20</v>
      </c>
    </row>
    <row r="323">
      <c r="A323" s="4" t="s">
        <v>352</v>
      </c>
      <c r="B323" s="4">
        <v>50.0</v>
      </c>
      <c r="C323" s="4" t="s">
        <v>31</v>
      </c>
      <c r="D323" s="5">
        <v>119777.0</v>
      </c>
      <c r="E323" s="4" t="s">
        <v>15</v>
      </c>
      <c r="F323" s="4">
        <v>178670.0</v>
      </c>
      <c r="G323" s="4" t="s">
        <v>33</v>
      </c>
      <c r="H323" s="4">
        <v>340.0</v>
      </c>
      <c r="I323" s="4">
        <v>3.0</v>
      </c>
      <c r="J323" s="4" t="s">
        <v>27</v>
      </c>
      <c r="K323" s="4" t="s">
        <v>24</v>
      </c>
      <c r="L323" s="4" t="s">
        <v>19</v>
      </c>
      <c r="M323" s="4" t="s">
        <v>20</v>
      </c>
    </row>
    <row r="324">
      <c r="A324" s="2" t="s">
        <v>353</v>
      </c>
      <c r="B324" s="2">
        <v>20.0</v>
      </c>
      <c r="C324" s="2" t="s">
        <v>31</v>
      </c>
      <c r="D324" s="3">
        <v>27368.0</v>
      </c>
      <c r="E324" s="2" t="s">
        <v>22</v>
      </c>
      <c r="F324" s="2">
        <v>162635.0</v>
      </c>
      <c r="G324" s="2" t="s">
        <v>33</v>
      </c>
      <c r="H324" s="2">
        <v>696.0</v>
      </c>
      <c r="I324" s="2">
        <v>6.0</v>
      </c>
      <c r="J324" s="2" t="s">
        <v>45</v>
      </c>
      <c r="K324" s="2" t="s">
        <v>24</v>
      </c>
      <c r="L324" s="2" t="s">
        <v>34</v>
      </c>
      <c r="M324" s="2" t="s">
        <v>20</v>
      </c>
    </row>
    <row r="325">
      <c r="A325" s="4" t="s">
        <v>354</v>
      </c>
      <c r="B325" s="4">
        <v>35.0</v>
      </c>
      <c r="C325" s="4" t="s">
        <v>14</v>
      </c>
      <c r="D325" s="5">
        <v>101751.0</v>
      </c>
      <c r="E325" s="4" t="s">
        <v>22</v>
      </c>
      <c r="F325" s="4">
        <v>66819.0</v>
      </c>
      <c r="G325" s="4" t="s">
        <v>16</v>
      </c>
      <c r="H325" s="4">
        <v>793.0</v>
      </c>
      <c r="I325" s="4">
        <v>6.0</v>
      </c>
      <c r="J325" s="4" t="s">
        <v>42</v>
      </c>
      <c r="K325" s="4" t="s">
        <v>24</v>
      </c>
      <c r="L325" s="4" t="s">
        <v>19</v>
      </c>
      <c r="M325" s="4" t="s">
        <v>20</v>
      </c>
    </row>
    <row r="326">
      <c r="A326" s="2" t="s">
        <v>355</v>
      </c>
      <c r="B326" s="2">
        <v>42.0</v>
      </c>
      <c r="C326" s="2" t="s">
        <v>31</v>
      </c>
      <c r="D326" s="3">
        <v>37306.0</v>
      </c>
      <c r="E326" s="2" t="s">
        <v>22</v>
      </c>
      <c r="F326" s="2">
        <v>93770.0</v>
      </c>
      <c r="G326" s="2" t="s">
        <v>16</v>
      </c>
      <c r="H326" s="2">
        <v>632.0</v>
      </c>
      <c r="I326" s="2">
        <v>6.0</v>
      </c>
      <c r="J326" s="2" t="s">
        <v>45</v>
      </c>
      <c r="K326" s="2" t="s">
        <v>24</v>
      </c>
      <c r="L326" s="2" t="s">
        <v>28</v>
      </c>
      <c r="M326" s="2" t="s">
        <v>20</v>
      </c>
    </row>
    <row r="327">
      <c r="A327" s="4" t="s">
        <v>356</v>
      </c>
      <c r="B327" s="4">
        <v>59.0</v>
      </c>
      <c r="C327" s="4" t="s">
        <v>31</v>
      </c>
      <c r="D327" s="5">
        <v>47219.0</v>
      </c>
      <c r="E327" s="4" t="s">
        <v>26</v>
      </c>
      <c r="F327" s="4">
        <v>178038.0</v>
      </c>
      <c r="G327" s="4" t="s">
        <v>33</v>
      </c>
      <c r="H327" s="4">
        <v>426.0</v>
      </c>
      <c r="I327" s="4">
        <v>24.0</v>
      </c>
      <c r="J327" s="4" t="s">
        <v>45</v>
      </c>
      <c r="K327" s="4" t="s">
        <v>18</v>
      </c>
      <c r="L327" s="4" t="s">
        <v>28</v>
      </c>
      <c r="M327" s="4" t="s">
        <v>20</v>
      </c>
    </row>
    <row r="328">
      <c r="A328" s="2" t="s">
        <v>357</v>
      </c>
      <c r="B328" s="2">
        <v>48.0</v>
      </c>
      <c r="C328" s="2" t="s">
        <v>31</v>
      </c>
      <c r="D328" s="3">
        <v>70279.0</v>
      </c>
      <c r="E328" s="2" t="s">
        <v>26</v>
      </c>
      <c r="F328" s="2">
        <v>178059.0</v>
      </c>
      <c r="G328" s="2" t="s">
        <v>16</v>
      </c>
      <c r="H328" s="2">
        <v>300.0</v>
      </c>
      <c r="I328" s="2">
        <v>24.0</v>
      </c>
      <c r="J328" s="2" t="s">
        <v>42</v>
      </c>
      <c r="K328" s="2" t="s">
        <v>18</v>
      </c>
      <c r="L328" s="2" t="s">
        <v>19</v>
      </c>
      <c r="M328" s="2" t="s">
        <v>20</v>
      </c>
    </row>
    <row r="329">
      <c r="A329" s="4" t="s">
        <v>358</v>
      </c>
      <c r="B329" s="4">
        <v>20.0</v>
      </c>
      <c r="C329" s="4" t="s">
        <v>31</v>
      </c>
      <c r="D329" s="5">
        <v>63028.0</v>
      </c>
      <c r="E329" s="4" t="s">
        <v>15</v>
      </c>
      <c r="F329" s="4">
        <v>98714.0</v>
      </c>
      <c r="G329" s="4" t="s">
        <v>23</v>
      </c>
      <c r="H329" s="4">
        <v>467.0</v>
      </c>
      <c r="I329" s="4">
        <v>6.0</v>
      </c>
      <c r="J329" s="4" t="s">
        <v>42</v>
      </c>
      <c r="K329" s="4" t="s">
        <v>24</v>
      </c>
      <c r="L329" s="4" t="s">
        <v>28</v>
      </c>
      <c r="M329" s="4" t="s">
        <v>20</v>
      </c>
    </row>
    <row r="330">
      <c r="A330" s="2" t="s">
        <v>359</v>
      </c>
      <c r="B330" s="2">
        <v>57.0</v>
      </c>
      <c r="C330" s="2" t="s">
        <v>14</v>
      </c>
      <c r="D330" s="3">
        <v>114263.0</v>
      </c>
      <c r="E330" s="2" t="s">
        <v>22</v>
      </c>
      <c r="F330" s="2">
        <v>44596.0</v>
      </c>
      <c r="G330" s="2" t="s">
        <v>33</v>
      </c>
      <c r="H330" s="2">
        <v>318.0</v>
      </c>
      <c r="I330" s="2">
        <v>12.0</v>
      </c>
      <c r="J330" s="2" t="s">
        <v>17</v>
      </c>
      <c r="K330" s="2" t="s">
        <v>24</v>
      </c>
      <c r="L330" s="2" t="s">
        <v>19</v>
      </c>
      <c r="M330" s="2" t="s">
        <v>20</v>
      </c>
    </row>
    <row r="331">
      <c r="A331" s="4" t="s">
        <v>360</v>
      </c>
      <c r="B331" s="4">
        <v>41.0</v>
      </c>
      <c r="C331" s="4" t="s">
        <v>14</v>
      </c>
      <c r="D331" s="5">
        <v>10126.0</v>
      </c>
      <c r="E331" s="4" t="s">
        <v>15</v>
      </c>
      <c r="F331" s="4">
        <v>184246.0</v>
      </c>
      <c r="G331" s="4" t="s">
        <v>23</v>
      </c>
      <c r="H331" s="4">
        <v>631.0</v>
      </c>
      <c r="I331" s="4">
        <v>6.0</v>
      </c>
      <c r="J331" s="4" t="s">
        <v>17</v>
      </c>
      <c r="K331" s="4" t="s">
        <v>24</v>
      </c>
      <c r="L331" s="4" t="s">
        <v>34</v>
      </c>
      <c r="M331" s="4" t="s">
        <v>20</v>
      </c>
    </row>
    <row r="332">
      <c r="A332" s="2" t="s">
        <v>361</v>
      </c>
      <c r="B332" s="2">
        <v>49.0</v>
      </c>
      <c r="C332" s="2" t="s">
        <v>31</v>
      </c>
      <c r="D332" s="3">
        <v>62329.0</v>
      </c>
      <c r="E332" s="2" t="s">
        <v>15</v>
      </c>
      <c r="F332" s="2">
        <v>84106.0</v>
      </c>
      <c r="G332" s="2" t="s">
        <v>16</v>
      </c>
      <c r="H332" s="2">
        <v>755.0</v>
      </c>
      <c r="I332" s="2">
        <v>12.0</v>
      </c>
      <c r="J332" s="2" t="s">
        <v>17</v>
      </c>
      <c r="K332" s="2" t="s">
        <v>24</v>
      </c>
      <c r="L332" s="2" t="s">
        <v>28</v>
      </c>
      <c r="M332" s="2" t="s">
        <v>20</v>
      </c>
    </row>
    <row r="333">
      <c r="A333" s="4" t="s">
        <v>362</v>
      </c>
      <c r="B333" s="4">
        <v>39.0</v>
      </c>
      <c r="C333" s="4" t="s">
        <v>14</v>
      </c>
      <c r="D333" s="5">
        <v>37632.0</v>
      </c>
      <c r="E333" s="4" t="s">
        <v>22</v>
      </c>
      <c r="F333" s="4">
        <v>79182.0</v>
      </c>
      <c r="G333" s="4" t="s">
        <v>16</v>
      </c>
      <c r="H333" s="4">
        <v>408.0</v>
      </c>
      <c r="I333" s="4">
        <v>12.0</v>
      </c>
      <c r="J333" s="4" t="s">
        <v>45</v>
      </c>
      <c r="K333" s="4" t="s">
        <v>18</v>
      </c>
      <c r="L333" s="4" t="s">
        <v>28</v>
      </c>
      <c r="M333" s="4" t="s">
        <v>20</v>
      </c>
    </row>
    <row r="334">
      <c r="A334" s="2" t="s">
        <v>363</v>
      </c>
      <c r="B334" s="2">
        <v>40.0</v>
      </c>
      <c r="C334" s="2" t="s">
        <v>31</v>
      </c>
      <c r="D334" s="3">
        <v>119945.0</v>
      </c>
      <c r="E334" s="2" t="s">
        <v>22</v>
      </c>
      <c r="F334" s="2">
        <v>107163.0</v>
      </c>
      <c r="G334" s="2" t="s">
        <v>33</v>
      </c>
      <c r="H334" s="2">
        <v>567.0</v>
      </c>
      <c r="I334" s="2">
        <v>24.0</v>
      </c>
      <c r="J334" s="2" t="s">
        <v>45</v>
      </c>
      <c r="K334" s="2" t="s">
        <v>24</v>
      </c>
      <c r="L334" s="2" t="s">
        <v>19</v>
      </c>
      <c r="M334" s="2" t="s">
        <v>20</v>
      </c>
    </row>
    <row r="335">
      <c r="A335" s="4" t="s">
        <v>364</v>
      </c>
      <c r="B335" s="4">
        <v>19.0</v>
      </c>
      <c r="C335" s="4" t="s">
        <v>31</v>
      </c>
      <c r="D335" s="5">
        <v>65176.0</v>
      </c>
      <c r="E335" s="4" t="s">
        <v>26</v>
      </c>
      <c r="F335" s="4">
        <v>59310.0</v>
      </c>
      <c r="G335" s="4" t="s">
        <v>23</v>
      </c>
      <c r="H335" s="4">
        <v>744.0</v>
      </c>
      <c r="I335" s="4">
        <v>12.0</v>
      </c>
      <c r="J335" s="4" t="s">
        <v>17</v>
      </c>
      <c r="K335" s="4" t="s">
        <v>24</v>
      </c>
      <c r="L335" s="4" t="s">
        <v>28</v>
      </c>
      <c r="M335" s="4" t="s">
        <v>20</v>
      </c>
    </row>
    <row r="336">
      <c r="A336" s="2" t="s">
        <v>365</v>
      </c>
      <c r="B336" s="2">
        <v>44.0</v>
      </c>
      <c r="C336" s="2" t="s">
        <v>31</v>
      </c>
      <c r="D336" s="3">
        <v>144869.0</v>
      </c>
      <c r="E336" s="2" t="s">
        <v>22</v>
      </c>
      <c r="F336" s="2">
        <v>76088.0</v>
      </c>
      <c r="G336" s="2" t="s">
        <v>16</v>
      </c>
      <c r="H336" s="2">
        <v>539.0</v>
      </c>
      <c r="I336" s="2">
        <v>6.0</v>
      </c>
      <c r="J336" s="2" t="s">
        <v>45</v>
      </c>
      <c r="K336" s="2" t="s">
        <v>18</v>
      </c>
      <c r="L336" s="2" t="s">
        <v>19</v>
      </c>
      <c r="M336" s="2" t="s">
        <v>20</v>
      </c>
    </row>
    <row r="337">
      <c r="A337" s="4" t="s">
        <v>366</v>
      </c>
      <c r="B337" s="4">
        <v>59.0</v>
      </c>
      <c r="C337" s="4" t="s">
        <v>14</v>
      </c>
      <c r="D337" s="5">
        <v>44560.0</v>
      </c>
      <c r="E337" s="4" t="s">
        <v>26</v>
      </c>
      <c r="F337" s="4">
        <v>148803.0</v>
      </c>
      <c r="G337" s="4" t="s">
        <v>33</v>
      </c>
      <c r="H337" s="4">
        <v>600.0</v>
      </c>
      <c r="I337" s="4">
        <v>24.0</v>
      </c>
      <c r="J337" s="4" t="s">
        <v>45</v>
      </c>
      <c r="K337" s="4" t="s">
        <v>24</v>
      </c>
      <c r="L337" s="4" t="s">
        <v>28</v>
      </c>
      <c r="M337" s="4" t="s">
        <v>20</v>
      </c>
    </row>
    <row r="338">
      <c r="A338" s="2" t="s">
        <v>367</v>
      </c>
      <c r="B338" s="2">
        <v>19.0</v>
      </c>
      <c r="C338" s="2" t="s">
        <v>14</v>
      </c>
      <c r="D338" s="3">
        <v>86589.0</v>
      </c>
      <c r="E338" s="2" t="s">
        <v>22</v>
      </c>
      <c r="F338" s="2">
        <v>159978.0</v>
      </c>
      <c r="G338" s="2" t="s">
        <v>16</v>
      </c>
      <c r="H338" s="2">
        <v>402.0</v>
      </c>
      <c r="I338" s="2">
        <v>3.0</v>
      </c>
      <c r="J338" s="2" t="s">
        <v>42</v>
      </c>
      <c r="K338" s="2" t="s">
        <v>18</v>
      </c>
      <c r="L338" s="2" t="s">
        <v>19</v>
      </c>
      <c r="M338" s="2" t="s">
        <v>20</v>
      </c>
    </row>
    <row r="339">
      <c r="A339" s="4" t="s">
        <v>368</v>
      </c>
      <c r="B339" s="4">
        <v>43.0</v>
      </c>
      <c r="C339" s="4" t="s">
        <v>14</v>
      </c>
      <c r="D339" s="5">
        <v>32116.0</v>
      </c>
      <c r="E339" s="4" t="s">
        <v>22</v>
      </c>
      <c r="F339" s="4">
        <v>56914.0</v>
      </c>
      <c r="G339" s="4" t="s">
        <v>33</v>
      </c>
      <c r="H339" s="4">
        <v>549.0</v>
      </c>
      <c r="I339" s="4">
        <v>3.0</v>
      </c>
      <c r="J339" s="4" t="s">
        <v>42</v>
      </c>
      <c r="K339" s="4" t="s">
        <v>24</v>
      </c>
      <c r="L339" s="4" t="s">
        <v>28</v>
      </c>
      <c r="M339" s="4" t="s">
        <v>20</v>
      </c>
    </row>
    <row r="340">
      <c r="A340" s="2" t="s">
        <v>369</v>
      </c>
      <c r="B340" s="2">
        <v>34.0</v>
      </c>
      <c r="C340" s="2" t="s">
        <v>14</v>
      </c>
      <c r="D340" s="3">
        <v>142717.0</v>
      </c>
      <c r="E340" s="2" t="s">
        <v>22</v>
      </c>
      <c r="F340" s="2">
        <v>130350.0</v>
      </c>
      <c r="G340" s="2" t="s">
        <v>16</v>
      </c>
      <c r="H340" s="2">
        <v>752.0</v>
      </c>
      <c r="I340" s="2">
        <v>24.0</v>
      </c>
      <c r="J340" s="2" t="s">
        <v>45</v>
      </c>
      <c r="K340" s="2" t="s">
        <v>24</v>
      </c>
      <c r="L340" s="2" t="s">
        <v>19</v>
      </c>
      <c r="M340" s="2" t="s">
        <v>20</v>
      </c>
    </row>
    <row r="341">
      <c r="A341" s="4" t="s">
        <v>370</v>
      </c>
      <c r="B341" s="4">
        <v>57.0</v>
      </c>
      <c r="C341" s="4" t="s">
        <v>14</v>
      </c>
      <c r="D341" s="5">
        <v>134085.0</v>
      </c>
      <c r="E341" s="4" t="s">
        <v>22</v>
      </c>
      <c r="F341" s="4">
        <v>65379.0</v>
      </c>
      <c r="G341" s="4" t="s">
        <v>33</v>
      </c>
      <c r="H341" s="4">
        <v>819.0</v>
      </c>
      <c r="I341" s="4">
        <v>6.0</v>
      </c>
      <c r="J341" s="4" t="s">
        <v>17</v>
      </c>
      <c r="K341" s="4" t="s">
        <v>24</v>
      </c>
      <c r="L341" s="4" t="s">
        <v>19</v>
      </c>
      <c r="M341" s="4" t="s">
        <v>20</v>
      </c>
    </row>
    <row r="342">
      <c r="A342" s="2" t="s">
        <v>371</v>
      </c>
      <c r="B342" s="2">
        <v>50.0</v>
      </c>
      <c r="C342" s="2" t="s">
        <v>14</v>
      </c>
      <c r="D342" s="3">
        <v>127718.0</v>
      </c>
      <c r="E342" s="2" t="s">
        <v>26</v>
      </c>
      <c r="F342" s="2">
        <v>188722.0</v>
      </c>
      <c r="G342" s="2" t="s">
        <v>16</v>
      </c>
      <c r="H342" s="2">
        <v>452.0</v>
      </c>
      <c r="I342" s="2">
        <v>3.0</v>
      </c>
      <c r="J342" s="2" t="s">
        <v>27</v>
      </c>
      <c r="K342" s="2" t="s">
        <v>18</v>
      </c>
      <c r="L342" s="2" t="s">
        <v>19</v>
      </c>
      <c r="M342" s="2" t="s">
        <v>20</v>
      </c>
    </row>
    <row r="343">
      <c r="A343" s="4" t="s">
        <v>372</v>
      </c>
      <c r="B343" s="4">
        <v>26.0</v>
      </c>
      <c r="C343" s="4" t="s">
        <v>14</v>
      </c>
      <c r="D343" s="5">
        <v>29256.0</v>
      </c>
      <c r="E343" s="4" t="s">
        <v>22</v>
      </c>
      <c r="F343" s="4">
        <v>197953.0</v>
      </c>
      <c r="G343" s="4" t="s">
        <v>16</v>
      </c>
      <c r="H343" s="4">
        <v>473.0</v>
      </c>
      <c r="I343" s="4">
        <v>3.0</v>
      </c>
      <c r="J343" s="4" t="s">
        <v>17</v>
      </c>
      <c r="K343" s="4" t="s">
        <v>18</v>
      </c>
      <c r="L343" s="4" t="s">
        <v>34</v>
      </c>
      <c r="M343" s="4" t="s">
        <v>20</v>
      </c>
    </row>
    <row r="344">
      <c r="A344" s="2" t="s">
        <v>373</v>
      </c>
      <c r="B344" s="2">
        <v>56.0</v>
      </c>
      <c r="C344" s="2" t="s">
        <v>14</v>
      </c>
      <c r="D344" s="3">
        <v>110158.0</v>
      </c>
      <c r="E344" s="2" t="s">
        <v>26</v>
      </c>
      <c r="F344" s="2">
        <v>66413.0</v>
      </c>
      <c r="G344" s="2" t="s">
        <v>16</v>
      </c>
      <c r="H344" s="2">
        <v>642.0</v>
      </c>
      <c r="I344" s="2">
        <v>12.0</v>
      </c>
      <c r="J344" s="2" t="s">
        <v>27</v>
      </c>
      <c r="K344" s="2" t="s">
        <v>18</v>
      </c>
      <c r="L344" s="2" t="s">
        <v>19</v>
      </c>
      <c r="M344" s="2" t="s">
        <v>20</v>
      </c>
    </row>
    <row r="345">
      <c r="A345" s="4" t="s">
        <v>374</v>
      </c>
      <c r="B345" s="4">
        <v>46.0</v>
      </c>
      <c r="C345" s="4" t="s">
        <v>14</v>
      </c>
      <c r="D345" s="5">
        <v>129719.0</v>
      </c>
      <c r="E345" s="4" t="s">
        <v>15</v>
      </c>
      <c r="F345" s="4">
        <v>157084.0</v>
      </c>
      <c r="G345" s="4" t="s">
        <v>16</v>
      </c>
      <c r="H345" s="4">
        <v>730.0</v>
      </c>
      <c r="I345" s="4">
        <v>12.0</v>
      </c>
      <c r="J345" s="4" t="s">
        <v>17</v>
      </c>
      <c r="K345" s="4" t="s">
        <v>24</v>
      </c>
      <c r="L345" s="4" t="s">
        <v>19</v>
      </c>
      <c r="M345" s="4" t="s">
        <v>20</v>
      </c>
    </row>
    <row r="346">
      <c r="A346" s="2" t="s">
        <v>375</v>
      </c>
      <c r="B346" s="2">
        <v>59.0</v>
      </c>
      <c r="C346" s="2" t="s">
        <v>31</v>
      </c>
      <c r="D346" s="3">
        <v>78244.0</v>
      </c>
      <c r="E346" s="2" t="s">
        <v>26</v>
      </c>
      <c r="F346" s="2">
        <v>27151.0</v>
      </c>
      <c r="G346" s="2" t="s">
        <v>33</v>
      </c>
      <c r="H346" s="2">
        <v>623.0</v>
      </c>
      <c r="I346" s="2">
        <v>6.0</v>
      </c>
      <c r="J346" s="2" t="s">
        <v>42</v>
      </c>
      <c r="K346" s="2" t="s">
        <v>24</v>
      </c>
      <c r="L346" s="2" t="s">
        <v>19</v>
      </c>
      <c r="M346" s="2" t="s">
        <v>20</v>
      </c>
    </row>
    <row r="347">
      <c r="A347" s="4" t="s">
        <v>376</v>
      </c>
      <c r="B347" s="4">
        <v>43.0</v>
      </c>
      <c r="C347" s="4" t="s">
        <v>14</v>
      </c>
      <c r="D347" s="5">
        <v>66264.0</v>
      </c>
      <c r="E347" s="4" t="s">
        <v>22</v>
      </c>
      <c r="F347" s="4">
        <v>77716.0</v>
      </c>
      <c r="G347" s="4" t="s">
        <v>33</v>
      </c>
      <c r="H347" s="4">
        <v>719.0</v>
      </c>
      <c r="I347" s="4">
        <v>24.0</v>
      </c>
      <c r="J347" s="4" t="s">
        <v>45</v>
      </c>
      <c r="K347" s="4" t="s">
        <v>24</v>
      </c>
      <c r="L347" s="4" t="s">
        <v>28</v>
      </c>
      <c r="M347" s="4" t="s">
        <v>20</v>
      </c>
    </row>
    <row r="348">
      <c r="A348" s="2" t="s">
        <v>377</v>
      </c>
      <c r="B348" s="2">
        <v>52.0</v>
      </c>
      <c r="C348" s="2" t="s">
        <v>14</v>
      </c>
      <c r="D348" s="3">
        <v>67545.0</v>
      </c>
      <c r="E348" s="2" t="s">
        <v>26</v>
      </c>
      <c r="F348" s="2">
        <v>113747.0</v>
      </c>
      <c r="G348" s="2" t="s">
        <v>16</v>
      </c>
      <c r="H348" s="2">
        <v>784.0</v>
      </c>
      <c r="I348" s="2">
        <v>6.0</v>
      </c>
      <c r="J348" s="2" t="s">
        <v>45</v>
      </c>
      <c r="K348" s="2" t="s">
        <v>18</v>
      </c>
      <c r="L348" s="2" t="s">
        <v>28</v>
      </c>
      <c r="M348" s="2" t="s">
        <v>20</v>
      </c>
    </row>
    <row r="349">
      <c r="A349" s="4" t="s">
        <v>378</v>
      </c>
      <c r="B349" s="4">
        <v>42.0</v>
      </c>
      <c r="C349" s="4" t="s">
        <v>14</v>
      </c>
      <c r="D349" s="5">
        <v>49224.0</v>
      </c>
      <c r="E349" s="4" t="s">
        <v>15</v>
      </c>
      <c r="F349" s="4">
        <v>187450.0</v>
      </c>
      <c r="G349" s="4" t="s">
        <v>16</v>
      </c>
      <c r="H349" s="4">
        <v>711.0</v>
      </c>
      <c r="I349" s="4">
        <v>24.0</v>
      </c>
      <c r="J349" s="4" t="s">
        <v>42</v>
      </c>
      <c r="K349" s="4" t="s">
        <v>24</v>
      </c>
      <c r="L349" s="4" t="s">
        <v>28</v>
      </c>
      <c r="M349" s="4" t="s">
        <v>20</v>
      </c>
    </row>
    <row r="350">
      <c r="A350" s="2" t="s">
        <v>379</v>
      </c>
      <c r="B350" s="2">
        <v>41.0</v>
      </c>
      <c r="C350" s="2" t="s">
        <v>14</v>
      </c>
      <c r="D350" s="3">
        <v>107945.0</v>
      </c>
      <c r="E350" s="2" t="s">
        <v>22</v>
      </c>
      <c r="F350" s="2">
        <v>193724.0</v>
      </c>
      <c r="G350" s="2" t="s">
        <v>33</v>
      </c>
      <c r="H350" s="2">
        <v>383.0</v>
      </c>
      <c r="I350" s="2">
        <v>3.0</v>
      </c>
      <c r="J350" s="2" t="s">
        <v>27</v>
      </c>
      <c r="K350" s="2" t="s">
        <v>24</v>
      </c>
      <c r="L350" s="2" t="s">
        <v>19</v>
      </c>
      <c r="M350" s="2" t="s">
        <v>20</v>
      </c>
    </row>
    <row r="351">
      <c r="A351" s="4" t="s">
        <v>380</v>
      </c>
      <c r="B351" s="4">
        <v>30.0</v>
      </c>
      <c r="C351" s="4" t="s">
        <v>14</v>
      </c>
      <c r="D351" s="5">
        <v>23224.0</v>
      </c>
      <c r="E351" s="4" t="s">
        <v>22</v>
      </c>
      <c r="F351" s="4">
        <v>164539.0</v>
      </c>
      <c r="G351" s="4" t="s">
        <v>33</v>
      </c>
      <c r="H351" s="4">
        <v>412.0</v>
      </c>
      <c r="I351" s="4">
        <v>12.0</v>
      </c>
      <c r="J351" s="4" t="s">
        <v>27</v>
      </c>
      <c r="K351" s="4" t="s">
        <v>18</v>
      </c>
      <c r="L351" s="4" t="s">
        <v>34</v>
      </c>
      <c r="M351" s="4" t="s">
        <v>20</v>
      </c>
    </row>
    <row r="352">
      <c r="A352" s="2" t="s">
        <v>381</v>
      </c>
      <c r="B352" s="2">
        <v>24.0</v>
      </c>
      <c r="C352" s="2" t="s">
        <v>14</v>
      </c>
      <c r="D352" s="3">
        <v>50738.0</v>
      </c>
      <c r="E352" s="2" t="s">
        <v>26</v>
      </c>
      <c r="F352" s="2">
        <v>182082.0</v>
      </c>
      <c r="G352" s="2" t="s">
        <v>23</v>
      </c>
      <c r="H352" s="2">
        <v>631.0</v>
      </c>
      <c r="I352" s="2">
        <v>6.0</v>
      </c>
      <c r="J352" s="2" t="s">
        <v>27</v>
      </c>
      <c r="K352" s="2" t="s">
        <v>24</v>
      </c>
      <c r="L352" s="2" t="s">
        <v>28</v>
      </c>
      <c r="M352" s="2" t="s">
        <v>20</v>
      </c>
    </row>
    <row r="353">
      <c r="A353" s="4" t="s">
        <v>382</v>
      </c>
      <c r="B353" s="4">
        <v>53.0</v>
      </c>
      <c r="C353" s="4" t="s">
        <v>14</v>
      </c>
      <c r="D353" s="5">
        <v>73731.0</v>
      </c>
      <c r="E353" s="4" t="s">
        <v>26</v>
      </c>
      <c r="F353" s="4">
        <v>141999.0</v>
      </c>
      <c r="G353" s="4" t="s">
        <v>16</v>
      </c>
      <c r="H353" s="4">
        <v>677.0</v>
      </c>
      <c r="I353" s="4">
        <v>6.0</v>
      </c>
      <c r="J353" s="4" t="s">
        <v>42</v>
      </c>
      <c r="K353" s="4" t="s">
        <v>18</v>
      </c>
      <c r="L353" s="4" t="s">
        <v>19</v>
      </c>
      <c r="M353" s="4" t="s">
        <v>20</v>
      </c>
    </row>
    <row r="354">
      <c r="A354" s="2" t="s">
        <v>383</v>
      </c>
      <c r="B354" s="2">
        <v>37.0</v>
      </c>
      <c r="C354" s="2" t="s">
        <v>14</v>
      </c>
      <c r="D354" s="3">
        <v>149649.0</v>
      </c>
      <c r="E354" s="2" t="s">
        <v>22</v>
      </c>
      <c r="F354" s="2">
        <v>134793.0</v>
      </c>
      <c r="G354" s="2" t="s">
        <v>16</v>
      </c>
      <c r="H354" s="2">
        <v>340.0</v>
      </c>
      <c r="I354" s="2">
        <v>24.0</v>
      </c>
      <c r="J354" s="2" t="s">
        <v>27</v>
      </c>
      <c r="K354" s="2" t="s">
        <v>18</v>
      </c>
      <c r="L354" s="2" t="s">
        <v>19</v>
      </c>
      <c r="M354" s="2" t="s">
        <v>20</v>
      </c>
    </row>
    <row r="355">
      <c r="A355" s="4" t="s">
        <v>384</v>
      </c>
      <c r="B355" s="4">
        <v>18.0</v>
      </c>
      <c r="C355" s="4" t="s">
        <v>14</v>
      </c>
      <c r="D355" s="5">
        <v>18070.0</v>
      </c>
      <c r="E355" s="4" t="s">
        <v>15</v>
      </c>
      <c r="F355" s="4">
        <v>128177.0</v>
      </c>
      <c r="G355" s="4" t="s">
        <v>23</v>
      </c>
      <c r="H355" s="4">
        <v>404.0</v>
      </c>
      <c r="I355" s="4">
        <v>24.0</v>
      </c>
      <c r="J355" s="4" t="s">
        <v>42</v>
      </c>
      <c r="K355" s="4" t="s">
        <v>18</v>
      </c>
      <c r="L355" s="4" t="s">
        <v>34</v>
      </c>
      <c r="M355" s="4" t="s">
        <v>20</v>
      </c>
    </row>
    <row r="356">
      <c r="A356" s="2" t="s">
        <v>385</v>
      </c>
      <c r="B356" s="2">
        <v>25.0</v>
      </c>
      <c r="C356" s="2" t="s">
        <v>14</v>
      </c>
      <c r="D356" s="3">
        <v>136161.0</v>
      </c>
      <c r="E356" s="2" t="s">
        <v>26</v>
      </c>
      <c r="F356" s="2">
        <v>32289.0</v>
      </c>
      <c r="G356" s="2" t="s">
        <v>16</v>
      </c>
      <c r="H356" s="2">
        <v>501.0</v>
      </c>
      <c r="I356" s="2">
        <v>6.0</v>
      </c>
      <c r="J356" s="2" t="s">
        <v>17</v>
      </c>
      <c r="K356" s="2" t="s">
        <v>18</v>
      </c>
      <c r="L356" s="2" t="s">
        <v>19</v>
      </c>
      <c r="M356" s="2" t="s">
        <v>20</v>
      </c>
    </row>
    <row r="357">
      <c r="A357" s="4" t="s">
        <v>386</v>
      </c>
      <c r="B357" s="4">
        <v>33.0</v>
      </c>
      <c r="C357" s="4" t="s">
        <v>14</v>
      </c>
      <c r="D357" s="5">
        <v>18666.0</v>
      </c>
      <c r="E357" s="4" t="s">
        <v>26</v>
      </c>
      <c r="F357" s="4">
        <v>196048.0</v>
      </c>
      <c r="G357" s="4" t="s">
        <v>23</v>
      </c>
      <c r="H357" s="4">
        <v>749.0</v>
      </c>
      <c r="I357" s="4">
        <v>24.0</v>
      </c>
      <c r="J357" s="4" t="s">
        <v>17</v>
      </c>
      <c r="K357" s="4" t="s">
        <v>18</v>
      </c>
      <c r="L357" s="4" t="s">
        <v>34</v>
      </c>
      <c r="M357" s="4" t="s">
        <v>20</v>
      </c>
    </row>
    <row r="358">
      <c r="A358" s="2" t="s">
        <v>387</v>
      </c>
      <c r="B358" s="2">
        <v>31.0</v>
      </c>
      <c r="C358" s="2" t="s">
        <v>31</v>
      </c>
      <c r="D358" s="3">
        <v>67761.0</v>
      </c>
      <c r="E358" s="2" t="s">
        <v>26</v>
      </c>
      <c r="F358" s="2">
        <v>194668.0</v>
      </c>
      <c r="G358" s="2" t="s">
        <v>16</v>
      </c>
      <c r="H358" s="2">
        <v>565.0</v>
      </c>
      <c r="I358" s="2">
        <v>6.0</v>
      </c>
      <c r="J358" s="2" t="s">
        <v>42</v>
      </c>
      <c r="K358" s="2" t="s">
        <v>18</v>
      </c>
      <c r="L358" s="2" t="s">
        <v>28</v>
      </c>
      <c r="M358" s="2" t="s">
        <v>20</v>
      </c>
    </row>
    <row r="359">
      <c r="A359" s="4" t="s">
        <v>388</v>
      </c>
      <c r="B359" s="4">
        <v>29.0</v>
      </c>
      <c r="C359" s="4" t="s">
        <v>31</v>
      </c>
      <c r="D359" s="5">
        <v>46368.0</v>
      </c>
      <c r="E359" s="4" t="s">
        <v>15</v>
      </c>
      <c r="F359" s="4">
        <v>174243.0</v>
      </c>
      <c r="G359" s="4" t="s">
        <v>33</v>
      </c>
      <c r="H359" s="4">
        <v>509.0</v>
      </c>
      <c r="I359" s="4">
        <v>6.0</v>
      </c>
      <c r="J359" s="4" t="s">
        <v>45</v>
      </c>
      <c r="K359" s="4" t="s">
        <v>24</v>
      </c>
      <c r="L359" s="4" t="s">
        <v>28</v>
      </c>
      <c r="M359" s="4" t="s">
        <v>20</v>
      </c>
    </row>
    <row r="360">
      <c r="A360" s="2" t="s">
        <v>389</v>
      </c>
      <c r="B360" s="2">
        <v>40.0</v>
      </c>
      <c r="C360" s="2" t="s">
        <v>14</v>
      </c>
      <c r="D360" s="3">
        <v>147855.0</v>
      </c>
      <c r="E360" s="2" t="s">
        <v>22</v>
      </c>
      <c r="F360" s="2">
        <v>106365.0</v>
      </c>
      <c r="G360" s="2" t="s">
        <v>16</v>
      </c>
      <c r="H360" s="2">
        <v>417.0</v>
      </c>
      <c r="I360" s="2">
        <v>6.0</v>
      </c>
      <c r="J360" s="2" t="s">
        <v>17</v>
      </c>
      <c r="K360" s="2" t="s">
        <v>18</v>
      </c>
      <c r="L360" s="2" t="s">
        <v>19</v>
      </c>
      <c r="M360" s="2" t="s">
        <v>20</v>
      </c>
    </row>
    <row r="361">
      <c r="A361" s="4" t="s">
        <v>390</v>
      </c>
      <c r="B361" s="4">
        <v>32.0</v>
      </c>
      <c r="C361" s="4" t="s">
        <v>14</v>
      </c>
      <c r="D361" s="5">
        <v>51914.0</v>
      </c>
      <c r="E361" s="4" t="s">
        <v>22</v>
      </c>
      <c r="F361" s="4">
        <v>134014.0</v>
      </c>
      <c r="G361" s="4" t="s">
        <v>23</v>
      </c>
      <c r="H361" s="4">
        <v>676.0</v>
      </c>
      <c r="I361" s="4">
        <v>3.0</v>
      </c>
      <c r="J361" s="4" t="s">
        <v>27</v>
      </c>
      <c r="K361" s="4" t="s">
        <v>24</v>
      </c>
      <c r="L361" s="4" t="s">
        <v>28</v>
      </c>
      <c r="M361" s="4" t="s">
        <v>20</v>
      </c>
    </row>
    <row r="362">
      <c r="A362" s="2" t="s">
        <v>391</v>
      </c>
      <c r="B362" s="2">
        <v>45.0</v>
      </c>
      <c r="C362" s="2" t="s">
        <v>31</v>
      </c>
      <c r="D362" s="3">
        <v>137738.0</v>
      </c>
      <c r="E362" s="2" t="s">
        <v>22</v>
      </c>
      <c r="F362" s="2">
        <v>195211.0</v>
      </c>
      <c r="G362" s="2" t="s">
        <v>16</v>
      </c>
      <c r="H362" s="2">
        <v>839.0</v>
      </c>
      <c r="I362" s="2">
        <v>24.0</v>
      </c>
      <c r="J362" s="2" t="s">
        <v>42</v>
      </c>
      <c r="K362" s="2" t="s">
        <v>24</v>
      </c>
      <c r="L362" s="2" t="s">
        <v>19</v>
      </c>
      <c r="M362" s="2" t="s">
        <v>20</v>
      </c>
    </row>
    <row r="363">
      <c r="A363" s="4" t="s">
        <v>392</v>
      </c>
      <c r="B363" s="4">
        <v>51.0</v>
      </c>
      <c r="C363" s="4" t="s">
        <v>14</v>
      </c>
      <c r="D363" s="5">
        <v>77526.0</v>
      </c>
      <c r="E363" s="4" t="s">
        <v>15</v>
      </c>
      <c r="F363" s="4">
        <v>199785.0</v>
      </c>
      <c r="G363" s="4" t="s">
        <v>23</v>
      </c>
      <c r="H363" s="4">
        <v>383.0</v>
      </c>
      <c r="I363" s="4">
        <v>12.0</v>
      </c>
      <c r="J363" s="4" t="s">
        <v>27</v>
      </c>
      <c r="K363" s="4" t="s">
        <v>24</v>
      </c>
      <c r="L363" s="4" t="s">
        <v>19</v>
      </c>
      <c r="M363" s="4" t="s">
        <v>20</v>
      </c>
    </row>
    <row r="364">
      <c r="A364" s="2" t="s">
        <v>393</v>
      </c>
      <c r="B364" s="2">
        <v>19.0</v>
      </c>
      <c r="C364" s="2" t="s">
        <v>31</v>
      </c>
      <c r="D364" s="3">
        <v>29956.0</v>
      </c>
      <c r="E364" s="2" t="s">
        <v>15</v>
      </c>
      <c r="F364" s="2">
        <v>180806.0</v>
      </c>
      <c r="G364" s="2" t="s">
        <v>16</v>
      </c>
      <c r="H364" s="2">
        <v>753.0</v>
      </c>
      <c r="I364" s="2">
        <v>12.0</v>
      </c>
      <c r="J364" s="2" t="s">
        <v>27</v>
      </c>
      <c r="K364" s="2" t="s">
        <v>18</v>
      </c>
      <c r="L364" s="2" t="s">
        <v>34</v>
      </c>
      <c r="M364" s="2" t="s">
        <v>20</v>
      </c>
    </row>
    <row r="365">
      <c r="A365" s="4" t="s">
        <v>394</v>
      </c>
      <c r="B365" s="4">
        <v>49.0</v>
      </c>
      <c r="C365" s="4" t="s">
        <v>31</v>
      </c>
      <c r="D365" s="5">
        <v>56240.0</v>
      </c>
      <c r="E365" s="4" t="s">
        <v>22</v>
      </c>
      <c r="F365" s="4">
        <v>92588.0</v>
      </c>
      <c r="G365" s="4" t="s">
        <v>23</v>
      </c>
      <c r="H365" s="4">
        <v>813.0</v>
      </c>
      <c r="I365" s="4">
        <v>24.0</v>
      </c>
      <c r="J365" s="4" t="s">
        <v>45</v>
      </c>
      <c r="K365" s="4" t="s">
        <v>24</v>
      </c>
      <c r="L365" s="4" t="s">
        <v>28</v>
      </c>
      <c r="M365" s="4" t="s">
        <v>20</v>
      </c>
    </row>
    <row r="366">
      <c r="A366" s="2" t="s">
        <v>395</v>
      </c>
      <c r="B366" s="2">
        <v>40.0</v>
      </c>
      <c r="C366" s="2" t="s">
        <v>31</v>
      </c>
      <c r="D366" s="3">
        <v>131008.0</v>
      </c>
      <c r="E366" s="2" t="s">
        <v>26</v>
      </c>
      <c r="F366" s="2">
        <v>83646.0</v>
      </c>
      <c r="G366" s="2" t="s">
        <v>23</v>
      </c>
      <c r="H366" s="2">
        <v>686.0</v>
      </c>
      <c r="I366" s="2">
        <v>6.0</v>
      </c>
      <c r="J366" s="2" t="s">
        <v>27</v>
      </c>
      <c r="K366" s="2" t="s">
        <v>24</v>
      </c>
      <c r="L366" s="2" t="s">
        <v>19</v>
      </c>
      <c r="M366" s="2" t="s">
        <v>20</v>
      </c>
    </row>
    <row r="367">
      <c r="A367" s="4" t="s">
        <v>396</v>
      </c>
      <c r="B367" s="4">
        <v>39.0</v>
      </c>
      <c r="C367" s="4" t="s">
        <v>31</v>
      </c>
      <c r="D367" s="5">
        <v>104270.0</v>
      </c>
      <c r="E367" s="4" t="s">
        <v>15</v>
      </c>
      <c r="F367" s="4">
        <v>23654.0</v>
      </c>
      <c r="G367" s="4" t="s">
        <v>23</v>
      </c>
      <c r="H367" s="4">
        <v>649.0</v>
      </c>
      <c r="I367" s="4">
        <v>12.0</v>
      </c>
      <c r="J367" s="4" t="s">
        <v>45</v>
      </c>
      <c r="K367" s="4" t="s">
        <v>24</v>
      </c>
      <c r="L367" s="4" t="s">
        <v>19</v>
      </c>
      <c r="M367" s="4" t="s">
        <v>20</v>
      </c>
    </row>
    <row r="368">
      <c r="A368" s="2" t="s">
        <v>397</v>
      </c>
      <c r="B368" s="2">
        <v>42.0</v>
      </c>
      <c r="C368" s="2" t="s">
        <v>31</v>
      </c>
      <c r="D368" s="3">
        <v>14757.0</v>
      </c>
      <c r="E368" s="2" t="s">
        <v>15</v>
      </c>
      <c r="F368" s="2">
        <v>38743.0</v>
      </c>
      <c r="G368" s="2" t="s">
        <v>23</v>
      </c>
      <c r="H368" s="2">
        <v>595.0</v>
      </c>
      <c r="I368" s="2">
        <v>12.0</v>
      </c>
      <c r="J368" s="2" t="s">
        <v>17</v>
      </c>
      <c r="K368" s="2" t="s">
        <v>18</v>
      </c>
      <c r="L368" s="2" t="s">
        <v>34</v>
      </c>
      <c r="M368" s="2" t="s">
        <v>20</v>
      </c>
    </row>
    <row r="369">
      <c r="A369" s="4" t="s">
        <v>398</v>
      </c>
      <c r="B369" s="4">
        <v>39.0</v>
      </c>
      <c r="C369" s="4" t="s">
        <v>14</v>
      </c>
      <c r="D369" s="5">
        <v>29097.0</v>
      </c>
      <c r="E369" s="4" t="s">
        <v>22</v>
      </c>
      <c r="F369" s="4">
        <v>68368.0</v>
      </c>
      <c r="G369" s="4" t="s">
        <v>23</v>
      </c>
      <c r="H369" s="4">
        <v>557.0</v>
      </c>
      <c r="I369" s="4">
        <v>24.0</v>
      </c>
      <c r="J369" s="4" t="s">
        <v>42</v>
      </c>
      <c r="K369" s="4" t="s">
        <v>18</v>
      </c>
      <c r="L369" s="4" t="s">
        <v>34</v>
      </c>
      <c r="M369" s="4" t="s">
        <v>20</v>
      </c>
    </row>
    <row r="370">
      <c r="A370" s="2" t="s">
        <v>399</v>
      </c>
      <c r="B370" s="2">
        <v>39.0</v>
      </c>
      <c r="C370" s="2" t="s">
        <v>31</v>
      </c>
      <c r="D370" s="3">
        <v>113892.0</v>
      </c>
      <c r="E370" s="2" t="s">
        <v>15</v>
      </c>
      <c r="F370" s="2">
        <v>157513.0</v>
      </c>
      <c r="G370" s="2" t="s">
        <v>33</v>
      </c>
      <c r="H370" s="2">
        <v>380.0</v>
      </c>
      <c r="I370" s="2">
        <v>12.0</v>
      </c>
      <c r="J370" s="2" t="s">
        <v>27</v>
      </c>
      <c r="K370" s="2" t="s">
        <v>24</v>
      </c>
      <c r="L370" s="2" t="s">
        <v>19</v>
      </c>
      <c r="M370" s="2" t="s">
        <v>20</v>
      </c>
    </row>
    <row r="371">
      <c r="A371" s="4" t="s">
        <v>400</v>
      </c>
      <c r="B371" s="4">
        <v>59.0</v>
      </c>
      <c r="C371" s="4" t="s">
        <v>14</v>
      </c>
      <c r="D371" s="5">
        <v>80480.0</v>
      </c>
      <c r="E371" s="4" t="s">
        <v>22</v>
      </c>
      <c r="F371" s="4">
        <v>139735.0</v>
      </c>
      <c r="G371" s="4" t="s">
        <v>16</v>
      </c>
      <c r="H371" s="4">
        <v>567.0</v>
      </c>
      <c r="I371" s="4">
        <v>6.0</v>
      </c>
      <c r="J371" s="4" t="s">
        <v>42</v>
      </c>
      <c r="K371" s="4" t="s">
        <v>18</v>
      </c>
      <c r="L371" s="4" t="s">
        <v>19</v>
      </c>
      <c r="M371" s="4" t="s">
        <v>20</v>
      </c>
    </row>
    <row r="372">
      <c r="A372" s="2" t="s">
        <v>401</v>
      </c>
      <c r="B372" s="2">
        <v>23.0</v>
      </c>
      <c r="C372" s="2" t="s">
        <v>14</v>
      </c>
      <c r="D372" s="3">
        <v>56163.0</v>
      </c>
      <c r="E372" s="2" t="s">
        <v>22</v>
      </c>
      <c r="F372" s="2">
        <v>175683.0</v>
      </c>
      <c r="G372" s="2" t="s">
        <v>33</v>
      </c>
      <c r="H372" s="2">
        <v>718.0</v>
      </c>
      <c r="I372" s="2">
        <v>24.0</v>
      </c>
      <c r="J372" s="2" t="s">
        <v>27</v>
      </c>
      <c r="K372" s="2" t="s">
        <v>24</v>
      </c>
      <c r="L372" s="2" t="s">
        <v>28</v>
      </c>
      <c r="M372" s="2" t="s">
        <v>20</v>
      </c>
    </row>
    <row r="373">
      <c r="A373" s="4" t="s">
        <v>402</v>
      </c>
      <c r="B373" s="4">
        <v>32.0</v>
      </c>
      <c r="C373" s="4" t="s">
        <v>31</v>
      </c>
      <c r="D373" s="5">
        <v>29816.0</v>
      </c>
      <c r="E373" s="4" t="s">
        <v>22</v>
      </c>
      <c r="F373" s="4">
        <v>139891.0</v>
      </c>
      <c r="G373" s="4" t="s">
        <v>16</v>
      </c>
      <c r="H373" s="4">
        <v>534.0</v>
      </c>
      <c r="I373" s="4">
        <v>6.0</v>
      </c>
      <c r="J373" s="4" t="s">
        <v>42</v>
      </c>
      <c r="K373" s="4" t="s">
        <v>18</v>
      </c>
      <c r="L373" s="4" t="s">
        <v>34</v>
      </c>
      <c r="M373" s="4" t="s">
        <v>20</v>
      </c>
    </row>
    <row r="374">
      <c r="A374" s="2" t="s">
        <v>403</v>
      </c>
      <c r="B374" s="2">
        <v>54.0</v>
      </c>
      <c r="C374" s="2" t="s">
        <v>31</v>
      </c>
      <c r="D374" s="3">
        <v>62853.0</v>
      </c>
      <c r="E374" s="2" t="s">
        <v>22</v>
      </c>
      <c r="F374" s="2">
        <v>127971.0</v>
      </c>
      <c r="G374" s="2" t="s">
        <v>16</v>
      </c>
      <c r="H374" s="2">
        <v>610.0</v>
      </c>
      <c r="I374" s="2">
        <v>12.0</v>
      </c>
      <c r="J374" s="2" t="s">
        <v>27</v>
      </c>
      <c r="K374" s="2" t="s">
        <v>24</v>
      </c>
      <c r="L374" s="2" t="s">
        <v>28</v>
      </c>
      <c r="M374" s="2" t="s">
        <v>20</v>
      </c>
    </row>
    <row r="375">
      <c r="A375" s="4" t="s">
        <v>404</v>
      </c>
      <c r="B375" s="4">
        <v>50.0</v>
      </c>
      <c r="C375" s="4" t="s">
        <v>14</v>
      </c>
      <c r="D375" s="5">
        <v>106731.0</v>
      </c>
      <c r="E375" s="4" t="s">
        <v>22</v>
      </c>
      <c r="F375" s="4">
        <v>32149.0</v>
      </c>
      <c r="G375" s="4" t="s">
        <v>16</v>
      </c>
      <c r="H375" s="4">
        <v>656.0</v>
      </c>
      <c r="I375" s="4">
        <v>12.0</v>
      </c>
      <c r="J375" s="4" t="s">
        <v>27</v>
      </c>
      <c r="K375" s="4" t="s">
        <v>24</v>
      </c>
      <c r="L375" s="4" t="s">
        <v>19</v>
      </c>
      <c r="M375" s="4" t="s">
        <v>20</v>
      </c>
    </row>
    <row r="376">
      <c r="A376" s="2" t="s">
        <v>405</v>
      </c>
      <c r="B376" s="2">
        <v>25.0</v>
      </c>
      <c r="C376" s="2" t="s">
        <v>31</v>
      </c>
      <c r="D376" s="3">
        <v>72823.0</v>
      </c>
      <c r="E376" s="2" t="s">
        <v>15</v>
      </c>
      <c r="F376" s="2">
        <v>120102.0</v>
      </c>
      <c r="G376" s="2" t="s">
        <v>16</v>
      </c>
      <c r="H376" s="2">
        <v>512.0</v>
      </c>
      <c r="I376" s="2">
        <v>6.0</v>
      </c>
      <c r="J376" s="2" t="s">
        <v>27</v>
      </c>
      <c r="K376" s="2" t="s">
        <v>18</v>
      </c>
      <c r="L376" s="2" t="s">
        <v>19</v>
      </c>
      <c r="M376" s="2" t="s">
        <v>20</v>
      </c>
    </row>
    <row r="377">
      <c r="A377" s="4" t="s">
        <v>406</v>
      </c>
      <c r="B377" s="4">
        <v>22.0</v>
      </c>
      <c r="C377" s="4" t="s">
        <v>31</v>
      </c>
      <c r="D377" s="5">
        <v>11759.0</v>
      </c>
      <c r="E377" s="4" t="s">
        <v>22</v>
      </c>
      <c r="F377" s="4">
        <v>79189.0</v>
      </c>
      <c r="G377" s="4" t="s">
        <v>33</v>
      </c>
      <c r="H377" s="4">
        <v>348.0</v>
      </c>
      <c r="I377" s="4">
        <v>3.0</v>
      </c>
      <c r="J377" s="4" t="s">
        <v>27</v>
      </c>
      <c r="K377" s="4" t="s">
        <v>18</v>
      </c>
      <c r="L377" s="4" t="s">
        <v>34</v>
      </c>
      <c r="M377" s="4" t="s">
        <v>20</v>
      </c>
    </row>
    <row r="378">
      <c r="A378" s="2" t="s">
        <v>407</v>
      </c>
      <c r="B378" s="2">
        <v>56.0</v>
      </c>
      <c r="C378" s="2" t="s">
        <v>14</v>
      </c>
      <c r="D378" s="3">
        <v>102374.0</v>
      </c>
      <c r="E378" s="2" t="s">
        <v>15</v>
      </c>
      <c r="F378" s="2">
        <v>172747.0</v>
      </c>
      <c r="G378" s="2" t="s">
        <v>33</v>
      </c>
      <c r="H378" s="2">
        <v>426.0</v>
      </c>
      <c r="I378" s="2">
        <v>12.0</v>
      </c>
      <c r="J378" s="2" t="s">
        <v>27</v>
      </c>
      <c r="K378" s="2" t="s">
        <v>24</v>
      </c>
      <c r="L378" s="2" t="s">
        <v>19</v>
      </c>
      <c r="M378" s="2" t="s">
        <v>20</v>
      </c>
    </row>
    <row r="379">
      <c r="A379" s="4" t="s">
        <v>408</v>
      </c>
      <c r="B379" s="4">
        <v>21.0</v>
      </c>
      <c r="C379" s="4" t="s">
        <v>14</v>
      </c>
      <c r="D379" s="5">
        <v>143554.0</v>
      </c>
      <c r="E379" s="4" t="s">
        <v>22</v>
      </c>
      <c r="F379" s="4">
        <v>91031.0</v>
      </c>
      <c r="G379" s="4" t="s">
        <v>33</v>
      </c>
      <c r="H379" s="4">
        <v>522.0</v>
      </c>
      <c r="I379" s="4">
        <v>3.0</v>
      </c>
      <c r="J379" s="4" t="s">
        <v>27</v>
      </c>
      <c r="K379" s="4" t="s">
        <v>24</v>
      </c>
      <c r="L379" s="4" t="s">
        <v>19</v>
      </c>
      <c r="M379" s="4" t="s">
        <v>20</v>
      </c>
    </row>
    <row r="380">
      <c r="A380" s="2" t="s">
        <v>409</v>
      </c>
      <c r="B380" s="2">
        <v>23.0</v>
      </c>
      <c r="C380" s="2" t="s">
        <v>31</v>
      </c>
      <c r="D380" s="3">
        <v>34442.0</v>
      </c>
      <c r="E380" s="2" t="s">
        <v>26</v>
      </c>
      <c r="F380" s="2">
        <v>62668.0</v>
      </c>
      <c r="G380" s="2" t="s">
        <v>23</v>
      </c>
      <c r="H380" s="2">
        <v>578.0</v>
      </c>
      <c r="I380" s="2">
        <v>12.0</v>
      </c>
      <c r="J380" s="2" t="s">
        <v>27</v>
      </c>
      <c r="K380" s="2" t="s">
        <v>18</v>
      </c>
      <c r="L380" s="2" t="s">
        <v>28</v>
      </c>
      <c r="M380" s="2" t="s">
        <v>20</v>
      </c>
    </row>
    <row r="381">
      <c r="A381" s="4" t="s">
        <v>410</v>
      </c>
      <c r="B381" s="4">
        <v>49.0</v>
      </c>
      <c r="C381" s="4" t="s">
        <v>14</v>
      </c>
      <c r="D381" s="5">
        <v>103501.0</v>
      </c>
      <c r="E381" s="4" t="s">
        <v>26</v>
      </c>
      <c r="F381" s="4">
        <v>164745.0</v>
      </c>
      <c r="G381" s="4" t="s">
        <v>16</v>
      </c>
      <c r="H381" s="4">
        <v>707.0</v>
      </c>
      <c r="I381" s="4">
        <v>3.0</v>
      </c>
      <c r="J381" s="4" t="s">
        <v>27</v>
      </c>
      <c r="K381" s="4" t="s">
        <v>18</v>
      </c>
      <c r="L381" s="4" t="s">
        <v>19</v>
      </c>
      <c r="M381" s="4" t="s">
        <v>20</v>
      </c>
    </row>
    <row r="382">
      <c r="A382" s="2" t="s">
        <v>411</v>
      </c>
      <c r="B382" s="2">
        <v>47.0</v>
      </c>
      <c r="C382" s="2" t="s">
        <v>31</v>
      </c>
      <c r="D382" s="3">
        <v>12079.0</v>
      </c>
      <c r="E382" s="2" t="s">
        <v>22</v>
      </c>
      <c r="F382" s="2">
        <v>108204.0</v>
      </c>
      <c r="G382" s="2" t="s">
        <v>16</v>
      </c>
      <c r="H382" s="2">
        <v>804.0</v>
      </c>
      <c r="I382" s="2">
        <v>3.0</v>
      </c>
      <c r="J382" s="2" t="s">
        <v>27</v>
      </c>
      <c r="K382" s="2" t="s">
        <v>18</v>
      </c>
      <c r="L382" s="2" t="s">
        <v>34</v>
      </c>
      <c r="M382" s="2" t="s">
        <v>20</v>
      </c>
    </row>
    <row r="383">
      <c r="A383" s="4" t="s">
        <v>412</v>
      </c>
      <c r="B383" s="4">
        <v>52.0</v>
      </c>
      <c r="C383" s="4" t="s">
        <v>31</v>
      </c>
      <c r="D383" s="5">
        <v>143789.0</v>
      </c>
      <c r="E383" s="4" t="s">
        <v>22</v>
      </c>
      <c r="F383" s="4">
        <v>174741.0</v>
      </c>
      <c r="G383" s="4" t="s">
        <v>16</v>
      </c>
      <c r="H383" s="4">
        <v>593.0</v>
      </c>
      <c r="I383" s="4">
        <v>3.0</v>
      </c>
      <c r="J383" s="4" t="s">
        <v>42</v>
      </c>
      <c r="K383" s="4" t="s">
        <v>18</v>
      </c>
      <c r="L383" s="4" t="s">
        <v>19</v>
      </c>
      <c r="M383" s="4" t="s">
        <v>20</v>
      </c>
    </row>
    <row r="384">
      <c r="A384" s="2" t="s">
        <v>413</v>
      </c>
      <c r="B384" s="2">
        <v>57.0</v>
      </c>
      <c r="C384" s="2" t="s">
        <v>31</v>
      </c>
      <c r="D384" s="3">
        <v>69676.0</v>
      </c>
      <c r="E384" s="2" t="s">
        <v>22</v>
      </c>
      <c r="F384" s="2">
        <v>185140.0</v>
      </c>
      <c r="G384" s="2" t="s">
        <v>16</v>
      </c>
      <c r="H384" s="2">
        <v>576.0</v>
      </c>
      <c r="I384" s="2">
        <v>6.0</v>
      </c>
      <c r="J384" s="2" t="s">
        <v>45</v>
      </c>
      <c r="K384" s="2" t="s">
        <v>18</v>
      </c>
      <c r="L384" s="2" t="s">
        <v>28</v>
      </c>
      <c r="M384" s="2" t="s">
        <v>20</v>
      </c>
    </row>
    <row r="385">
      <c r="A385" s="4" t="s">
        <v>414</v>
      </c>
      <c r="B385" s="4">
        <v>33.0</v>
      </c>
      <c r="C385" s="4" t="s">
        <v>14</v>
      </c>
      <c r="D385" s="5">
        <v>100397.0</v>
      </c>
      <c r="E385" s="4" t="s">
        <v>15</v>
      </c>
      <c r="F385" s="4">
        <v>160507.0</v>
      </c>
      <c r="G385" s="4" t="s">
        <v>16</v>
      </c>
      <c r="H385" s="4">
        <v>737.0</v>
      </c>
      <c r="I385" s="4">
        <v>3.0</v>
      </c>
      <c r="J385" s="4" t="s">
        <v>27</v>
      </c>
      <c r="K385" s="4" t="s">
        <v>24</v>
      </c>
      <c r="L385" s="4" t="s">
        <v>19</v>
      </c>
      <c r="M385" s="4" t="s">
        <v>20</v>
      </c>
    </row>
    <row r="386">
      <c r="A386" s="2" t="s">
        <v>415</v>
      </c>
      <c r="B386" s="2">
        <v>30.0</v>
      </c>
      <c r="C386" s="2" t="s">
        <v>14</v>
      </c>
      <c r="D386" s="3">
        <v>82847.0</v>
      </c>
      <c r="E386" s="2" t="s">
        <v>15</v>
      </c>
      <c r="F386" s="2">
        <v>57384.0</v>
      </c>
      <c r="G386" s="2" t="s">
        <v>16</v>
      </c>
      <c r="H386" s="2">
        <v>406.0</v>
      </c>
      <c r="I386" s="2">
        <v>3.0</v>
      </c>
      <c r="J386" s="2" t="s">
        <v>45</v>
      </c>
      <c r="K386" s="2" t="s">
        <v>18</v>
      </c>
      <c r="L386" s="2" t="s">
        <v>19</v>
      </c>
      <c r="M386" s="2" t="s">
        <v>20</v>
      </c>
    </row>
    <row r="387">
      <c r="A387" s="4" t="s">
        <v>416</v>
      </c>
      <c r="B387" s="4">
        <v>59.0</v>
      </c>
      <c r="C387" s="4" t="s">
        <v>14</v>
      </c>
      <c r="D387" s="5">
        <v>103607.0</v>
      </c>
      <c r="E387" s="4" t="s">
        <v>22</v>
      </c>
      <c r="F387" s="4">
        <v>101929.0</v>
      </c>
      <c r="G387" s="4" t="s">
        <v>23</v>
      </c>
      <c r="H387" s="4">
        <v>719.0</v>
      </c>
      <c r="I387" s="4">
        <v>3.0</v>
      </c>
      <c r="J387" s="4" t="s">
        <v>27</v>
      </c>
      <c r="K387" s="4" t="s">
        <v>24</v>
      </c>
      <c r="L387" s="4" t="s">
        <v>19</v>
      </c>
      <c r="M387" s="4" t="s">
        <v>20</v>
      </c>
    </row>
    <row r="388">
      <c r="A388" s="2" t="s">
        <v>417</v>
      </c>
      <c r="B388" s="2">
        <v>47.0</v>
      </c>
      <c r="C388" s="2" t="s">
        <v>14</v>
      </c>
      <c r="D388" s="3">
        <v>74077.0</v>
      </c>
      <c r="E388" s="2" t="s">
        <v>15</v>
      </c>
      <c r="F388" s="2">
        <v>147959.0</v>
      </c>
      <c r="G388" s="2" t="s">
        <v>33</v>
      </c>
      <c r="H388" s="2">
        <v>728.0</v>
      </c>
      <c r="I388" s="2">
        <v>12.0</v>
      </c>
      <c r="J388" s="2" t="s">
        <v>27</v>
      </c>
      <c r="K388" s="2" t="s">
        <v>24</v>
      </c>
      <c r="L388" s="2" t="s">
        <v>19</v>
      </c>
      <c r="M388" s="2" t="s">
        <v>20</v>
      </c>
    </row>
    <row r="389">
      <c r="A389" s="4" t="s">
        <v>418</v>
      </c>
      <c r="B389" s="4">
        <v>36.0</v>
      </c>
      <c r="C389" s="4" t="s">
        <v>14</v>
      </c>
      <c r="D389" s="5">
        <v>48258.0</v>
      </c>
      <c r="E389" s="4" t="s">
        <v>22</v>
      </c>
      <c r="F389" s="4">
        <v>96153.0</v>
      </c>
      <c r="G389" s="4" t="s">
        <v>33</v>
      </c>
      <c r="H389" s="4">
        <v>674.0</v>
      </c>
      <c r="I389" s="4">
        <v>3.0</v>
      </c>
      <c r="J389" s="4" t="s">
        <v>42</v>
      </c>
      <c r="K389" s="4" t="s">
        <v>24</v>
      </c>
      <c r="L389" s="4" t="s">
        <v>28</v>
      </c>
      <c r="M389" s="4" t="s">
        <v>20</v>
      </c>
    </row>
    <row r="390">
      <c r="A390" s="2" t="s">
        <v>419</v>
      </c>
      <c r="B390" s="2">
        <v>34.0</v>
      </c>
      <c r="C390" s="2" t="s">
        <v>31</v>
      </c>
      <c r="D390" s="3">
        <v>147717.0</v>
      </c>
      <c r="E390" s="2" t="s">
        <v>22</v>
      </c>
      <c r="F390" s="2">
        <v>95388.0</v>
      </c>
      <c r="G390" s="2" t="s">
        <v>33</v>
      </c>
      <c r="H390" s="2">
        <v>372.0</v>
      </c>
      <c r="I390" s="2">
        <v>12.0</v>
      </c>
      <c r="J390" s="2" t="s">
        <v>17</v>
      </c>
      <c r="K390" s="2" t="s">
        <v>24</v>
      </c>
      <c r="L390" s="2" t="s">
        <v>19</v>
      </c>
      <c r="M390" s="2" t="s">
        <v>20</v>
      </c>
    </row>
    <row r="391">
      <c r="A391" s="4" t="s">
        <v>420</v>
      </c>
      <c r="B391" s="4">
        <v>36.0</v>
      </c>
      <c r="C391" s="4" t="s">
        <v>31</v>
      </c>
      <c r="D391" s="5">
        <v>129771.0</v>
      </c>
      <c r="E391" s="4" t="s">
        <v>15</v>
      </c>
      <c r="F391" s="4">
        <v>51401.0</v>
      </c>
      <c r="G391" s="4" t="s">
        <v>23</v>
      </c>
      <c r="H391" s="4">
        <v>329.0</v>
      </c>
      <c r="I391" s="4">
        <v>3.0</v>
      </c>
      <c r="J391" s="4" t="s">
        <v>17</v>
      </c>
      <c r="K391" s="4" t="s">
        <v>24</v>
      </c>
      <c r="L391" s="4" t="s">
        <v>19</v>
      </c>
      <c r="M391" s="4" t="s">
        <v>20</v>
      </c>
    </row>
    <row r="392">
      <c r="A392" s="2" t="s">
        <v>421</v>
      </c>
      <c r="B392" s="2">
        <v>45.0</v>
      </c>
      <c r="C392" s="2" t="s">
        <v>31</v>
      </c>
      <c r="D392" s="3">
        <v>48000.0</v>
      </c>
      <c r="E392" s="2" t="s">
        <v>22</v>
      </c>
      <c r="F392" s="2">
        <v>139503.0</v>
      </c>
      <c r="G392" s="2" t="s">
        <v>16</v>
      </c>
      <c r="H392" s="2">
        <v>487.0</v>
      </c>
      <c r="I392" s="2">
        <v>3.0</v>
      </c>
      <c r="J392" s="2" t="s">
        <v>42</v>
      </c>
      <c r="K392" s="2" t="s">
        <v>18</v>
      </c>
      <c r="L392" s="2" t="s">
        <v>28</v>
      </c>
      <c r="M392" s="2" t="s">
        <v>20</v>
      </c>
    </row>
    <row r="393">
      <c r="A393" s="4" t="s">
        <v>422</v>
      </c>
      <c r="B393" s="4">
        <v>43.0</v>
      </c>
      <c r="C393" s="4" t="s">
        <v>31</v>
      </c>
      <c r="D393" s="5">
        <v>36737.0</v>
      </c>
      <c r="E393" s="4" t="s">
        <v>15</v>
      </c>
      <c r="F393" s="4">
        <v>147834.0</v>
      </c>
      <c r="G393" s="4" t="s">
        <v>23</v>
      </c>
      <c r="H393" s="4">
        <v>663.0</v>
      </c>
      <c r="I393" s="4">
        <v>6.0</v>
      </c>
      <c r="J393" s="4" t="s">
        <v>45</v>
      </c>
      <c r="K393" s="4" t="s">
        <v>24</v>
      </c>
      <c r="L393" s="4" t="s">
        <v>28</v>
      </c>
      <c r="M393" s="4" t="s">
        <v>20</v>
      </c>
    </row>
    <row r="394">
      <c r="A394" s="2" t="s">
        <v>423</v>
      </c>
      <c r="B394" s="2">
        <v>54.0</v>
      </c>
      <c r="C394" s="2" t="s">
        <v>14</v>
      </c>
      <c r="D394" s="3">
        <v>21485.0</v>
      </c>
      <c r="E394" s="2" t="s">
        <v>22</v>
      </c>
      <c r="F394" s="2">
        <v>54084.0</v>
      </c>
      <c r="G394" s="2" t="s">
        <v>33</v>
      </c>
      <c r="H394" s="2">
        <v>750.0</v>
      </c>
      <c r="I394" s="2">
        <v>12.0</v>
      </c>
      <c r="J394" s="2" t="s">
        <v>17</v>
      </c>
      <c r="K394" s="2" t="s">
        <v>24</v>
      </c>
      <c r="L394" s="2" t="s">
        <v>34</v>
      </c>
      <c r="M394" s="2" t="s">
        <v>20</v>
      </c>
    </row>
    <row r="395">
      <c r="A395" s="4" t="s">
        <v>424</v>
      </c>
      <c r="B395" s="4">
        <v>43.0</v>
      </c>
      <c r="C395" s="4" t="s">
        <v>31</v>
      </c>
      <c r="D395" s="5">
        <v>48565.0</v>
      </c>
      <c r="E395" s="4" t="s">
        <v>26</v>
      </c>
      <c r="F395" s="4">
        <v>130641.0</v>
      </c>
      <c r="G395" s="4" t="s">
        <v>16</v>
      </c>
      <c r="H395" s="4">
        <v>494.0</v>
      </c>
      <c r="I395" s="4">
        <v>3.0</v>
      </c>
      <c r="J395" s="4" t="s">
        <v>42</v>
      </c>
      <c r="K395" s="4" t="s">
        <v>18</v>
      </c>
      <c r="L395" s="4" t="s">
        <v>28</v>
      </c>
      <c r="M395" s="4" t="s">
        <v>20</v>
      </c>
    </row>
    <row r="396">
      <c r="A396" s="2" t="s">
        <v>425</v>
      </c>
      <c r="B396" s="2">
        <v>40.0</v>
      </c>
      <c r="C396" s="2" t="s">
        <v>14</v>
      </c>
      <c r="D396" s="3">
        <v>129614.0</v>
      </c>
      <c r="E396" s="2" t="s">
        <v>22</v>
      </c>
      <c r="F396" s="2">
        <v>125111.0</v>
      </c>
      <c r="G396" s="2" t="s">
        <v>16</v>
      </c>
      <c r="H396" s="2">
        <v>455.0</v>
      </c>
      <c r="I396" s="2">
        <v>12.0</v>
      </c>
      <c r="J396" s="2" t="s">
        <v>42</v>
      </c>
      <c r="K396" s="2" t="s">
        <v>18</v>
      </c>
      <c r="L396" s="2" t="s">
        <v>19</v>
      </c>
      <c r="M396" s="2" t="s">
        <v>20</v>
      </c>
    </row>
    <row r="397">
      <c r="A397" s="4" t="s">
        <v>426</v>
      </c>
      <c r="B397" s="4">
        <v>26.0</v>
      </c>
      <c r="C397" s="4" t="s">
        <v>31</v>
      </c>
      <c r="D397" s="5">
        <v>75155.0</v>
      </c>
      <c r="E397" s="4" t="s">
        <v>22</v>
      </c>
      <c r="F397" s="4">
        <v>187523.0</v>
      </c>
      <c r="G397" s="4" t="s">
        <v>33</v>
      </c>
      <c r="H397" s="4">
        <v>471.0</v>
      </c>
      <c r="I397" s="4">
        <v>12.0</v>
      </c>
      <c r="J397" s="4" t="s">
        <v>17</v>
      </c>
      <c r="K397" s="4" t="s">
        <v>24</v>
      </c>
      <c r="L397" s="4" t="s">
        <v>19</v>
      </c>
      <c r="M397" s="4" t="s">
        <v>20</v>
      </c>
    </row>
    <row r="398">
      <c r="A398" s="2" t="s">
        <v>427</v>
      </c>
      <c r="B398" s="2">
        <v>29.0</v>
      </c>
      <c r="C398" s="2" t="s">
        <v>14</v>
      </c>
      <c r="D398" s="3">
        <v>62487.0</v>
      </c>
      <c r="E398" s="2" t="s">
        <v>15</v>
      </c>
      <c r="F398" s="2">
        <v>158299.0</v>
      </c>
      <c r="G398" s="2" t="s">
        <v>16</v>
      </c>
      <c r="H398" s="2">
        <v>340.0</v>
      </c>
      <c r="I398" s="2">
        <v>24.0</v>
      </c>
      <c r="J398" s="2" t="s">
        <v>45</v>
      </c>
      <c r="K398" s="2" t="s">
        <v>18</v>
      </c>
      <c r="L398" s="2" t="s">
        <v>28</v>
      </c>
      <c r="M398" s="2" t="s">
        <v>20</v>
      </c>
    </row>
    <row r="399">
      <c r="A399" s="4" t="s">
        <v>428</v>
      </c>
      <c r="B399" s="4">
        <v>18.0</v>
      </c>
      <c r="C399" s="4" t="s">
        <v>14</v>
      </c>
      <c r="D399" s="5">
        <v>139948.0</v>
      </c>
      <c r="E399" s="4" t="s">
        <v>22</v>
      </c>
      <c r="F399" s="4">
        <v>182982.0</v>
      </c>
      <c r="G399" s="4" t="s">
        <v>23</v>
      </c>
      <c r="H399" s="4">
        <v>362.0</v>
      </c>
      <c r="I399" s="4">
        <v>6.0</v>
      </c>
      <c r="J399" s="4" t="s">
        <v>42</v>
      </c>
      <c r="K399" s="4" t="s">
        <v>24</v>
      </c>
      <c r="L399" s="4" t="s">
        <v>19</v>
      </c>
      <c r="M399" s="4" t="s">
        <v>20</v>
      </c>
    </row>
    <row r="400">
      <c r="A400" s="2" t="s">
        <v>429</v>
      </c>
      <c r="B400" s="2">
        <v>18.0</v>
      </c>
      <c r="C400" s="2" t="s">
        <v>31</v>
      </c>
      <c r="D400" s="3">
        <v>22342.0</v>
      </c>
      <c r="E400" s="2" t="s">
        <v>26</v>
      </c>
      <c r="F400" s="2">
        <v>56041.0</v>
      </c>
      <c r="G400" s="2" t="s">
        <v>23</v>
      </c>
      <c r="H400" s="2">
        <v>322.0</v>
      </c>
      <c r="I400" s="2">
        <v>6.0</v>
      </c>
      <c r="J400" s="2" t="s">
        <v>27</v>
      </c>
      <c r="K400" s="2" t="s">
        <v>18</v>
      </c>
      <c r="L400" s="2" t="s">
        <v>34</v>
      </c>
      <c r="M400" s="2" t="s">
        <v>20</v>
      </c>
    </row>
    <row r="401">
      <c r="A401" s="4" t="s">
        <v>430</v>
      </c>
      <c r="B401" s="4">
        <v>51.0</v>
      </c>
      <c r="C401" s="4" t="s">
        <v>31</v>
      </c>
      <c r="D401" s="5">
        <v>50806.0</v>
      </c>
      <c r="E401" s="4" t="s">
        <v>15</v>
      </c>
      <c r="F401" s="4">
        <v>108920.0</v>
      </c>
      <c r="G401" s="4" t="s">
        <v>16</v>
      </c>
      <c r="H401" s="4">
        <v>659.0</v>
      </c>
      <c r="I401" s="4">
        <v>6.0</v>
      </c>
      <c r="J401" s="4" t="s">
        <v>45</v>
      </c>
      <c r="K401" s="4" t="s">
        <v>24</v>
      </c>
      <c r="L401" s="4" t="s">
        <v>28</v>
      </c>
      <c r="M401" s="4" t="s">
        <v>20</v>
      </c>
    </row>
  </sheetData>
  <autoFilter ref="$J$1:$J$10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5" max="5" width="16.38"/>
    <col customWidth="1" min="20" max="20" width="20.75"/>
  </cols>
  <sheetData>
    <row r="1">
      <c r="A1" s="6" t="s">
        <v>431</v>
      </c>
      <c r="B1" s="6" t="s">
        <v>18</v>
      </c>
      <c r="C1" s="6" t="s">
        <v>24</v>
      </c>
      <c r="D1" s="7" t="s">
        <v>432</v>
      </c>
      <c r="E1" s="6" t="s">
        <v>433</v>
      </c>
      <c r="F1" s="6" t="s">
        <v>18</v>
      </c>
      <c r="G1" s="6" t="s">
        <v>24</v>
      </c>
      <c r="H1" s="7" t="s">
        <v>434</v>
      </c>
      <c r="J1" s="6" t="s">
        <v>9</v>
      </c>
      <c r="K1" s="6" t="s">
        <v>18</v>
      </c>
      <c r="L1" s="6" t="s">
        <v>24</v>
      </c>
      <c r="M1" s="7" t="s">
        <v>432</v>
      </c>
      <c r="O1" s="6" t="s">
        <v>11</v>
      </c>
      <c r="P1" s="6" t="s">
        <v>18</v>
      </c>
      <c r="Q1" s="6" t="s">
        <v>24</v>
      </c>
      <c r="R1" s="7" t="s">
        <v>432</v>
      </c>
      <c r="T1" s="6" t="s">
        <v>435</v>
      </c>
      <c r="U1" s="6" t="s">
        <v>436</v>
      </c>
    </row>
    <row r="2">
      <c r="A2" s="6" t="s">
        <v>16</v>
      </c>
      <c r="B2" s="8">
        <f>COUNTIFS('Raw data'!G:G,A2,'Raw data'!K:K,"Defaulted")</f>
        <v>137</v>
      </c>
      <c r="C2" s="8">
        <f>COUNTIFS('Raw data'!G:G,A2,'Raw data'!K:K,"Paid")</f>
        <v>56</v>
      </c>
      <c r="D2" s="9">
        <f t="shared" ref="D2:D4" si="1">B2/(B2+C2)</f>
        <v>0.7098445596</v>
      </c>
      <c r="E2" s="6" t="s">
        <v>22</v>
      </c>
      <c r="F2" s="8">
        <f>COUNTIFS('Raw data'!E:E,E2,'Raw data'!K:K,"Defaulted")</f>
        <v>65</v>
      </c>
      <c r="G2" s="8">
        <f>COUNTIFS('Raw data'!E:E,E2,'Raw data'!K:K,"Paid")</f>
        <v>123</v>
      </c>
      <c r="H2" s="9">
        <f t="shared" ref="H2:H4" si="2">F2/(F2+G2)</f>
        <v>0.3457446809</v>
      </c>
      <c r="J2" s="6" t="s">
        <v>17</v>
      </c>
      <c r="K2" s="8">
        <f>COUNTIFS('Raw data'!J:J,J2,'Raw data'!K:K,"Defaulted")</f>
        <v>47</v>
      </c>
      <c r="L2" s="8">
        <f>COUNTIFS('Raw data'!J:J,J2,'Raw data'!K:K,"Paid")</f>
        <v>60</v>
      </c>
      <c r="M2" s="9">
        <f t="shared" ref="M2:M5" si="3">K2/(K2+L2)</f>
        <v>0.4392523364</v>
      </c>
      <c r="O2" s="6" t="s">
        <v>19</v>
      </c>
      <c r="P2" s="8">
        <f>COUNTIFS('Raw data'!L:L,O2,'Raw data'!K:K,"Defaulted")</f>
        <v>90</v>
      </c>
      <c r="Q2" s="8">
        <f>COUNTIFS('Raw data'!L:L,O2,'Raw data'!K:K,"Paid")</f>
        <v>139</v>
      </c>
      <c r="R2" s="9">
        <f t="shared" ref="R2:R4" si="4">P2/(P2+Q2)</f>
        <v>0.3930131004</v>
      </c>
      <c r="T2" s="6" t="s">
        <v>18</v>
      </c>
      <c r="U2" s="10">
        <f>AVERAGEIF('Raw data'!K:K,"Defaulted",'Raw data'!H:H)</f>
        <v>524.1373626</v>
      </c>
    </row>
    <row r="3">
      <c r="A3" s="6" t="s">
        <v>33</v>
      </c>
      <c r="B3" s="8">
        <f>COUNTIFS('Raw data'!G:G,A3,'Raw data'!K:K,"Defaulted")</f>
        <v>22</v>
      </c>
      <c r="C3" s="8">
        <f>COUNTIFS('Raw data'!G:G,A3,'Raw data'!K:K,"Paid")</f>
        <v>95</v>
      </c>
      <c r="D3" s="9">
        <f t="shared" si="1"/>
        <v>0.188034188</v>
      </c>
      <c r="E3" s="6" t="s">
        <v>15</v>
      </c>
      <c r="F3" s="8">
        <f>COUNTIFS('Raw data'!E:E,E3,'Raw data'!K:K,"Defaulted")</f>
        <v>43</v>
      </c>
      <c r="G3" s="8">
        <f>COUNTIFS('Raw data'!E:E,E3,'Raw data'!K:K,"Paid")</f>
        <v>74</v>
      </c>
      <c r="H3" s="9">
        <f t="shared" si="2"/>
        <v>0.3675213675</v>
      </c>
      <c r="J3" s="6" t="s">
        <v>45</v>
      </c>
      <c r="K3" s="8">
        <f>COUNTIFS('Raw data'!J:J,J3,'Raw data'!K:K,"Defaulted")</f>
        <v>43</v>
      </c>
      <c r="L3" s="8">
        <f>COUNTIFS('Raw data'!J:J,J3,'Raw data'!K:K,"Paid")</f>
        <v>44</v>
      </c>
      <c r="M3" s="9">
        <f t="shared" si="3"/>
        <v>0.4942528736</v>
      </c>
      <c r="O3" s="6" t="s">
        <v>28</v>
      </c>
      <c r="P3" s="8">
        <f>COUNTIFS('Raw data'!L:L,O3,'Raw data'!K:K,"Defaulted")</f>
        <v>37</v>
      </c>
      <c r="Q3" s="8">
        <f>COUNTIFS('Raw data'!L:L,O3,'Raw data'!K:K,"Paid")</f>
        <v>73</v>
      </c>
      <c r="R3" s="9">
        <f t="shared" si="4"/>
        <v>0.3363636364</v>
      </c>
      <c r="T3" s="6" t="s">
        <v>24</v>
      </c>
      <c r="U3" s="8">
        <f>AVERAGEIF('Raw data'!K:K,"Paid",'Raw data'!H:H)</f>
        <v>638.353211</v>
      </c>
    </row>
    <row r="4">
      <c r="A4" s="6" t="s">
        <v>437</v>
      </c>
      <c r="B4" s="8">
        <f>COUNTIFS('Raw data'!G:G,A4,'Raw data'!K:K,"Defaulted")</f>
        <v>23</v>
      </c>
      <c r="C4" s="8">
        <f>COUNTIFS('Raw data'!G:G,A4,'Raw data'!K:K,"Paid")</f>
        <v>67</v>
      </c>
      <c r="D4" s="9">
        <f t="shared" si="1"/>
        <v>0.2555555556</v>
      </c>
      <c r="E4" s="6" t="s">
        <v>26</v>
      </c>
      <c r="F4" s="8">
        <f>COUNTIFS('Raw data'!E:E,E4,'Raw data'!K:K,"Defaulted")</f>
        <v>74</v>
      </c>
      <c r="G4" s="8">
        <f>COUNTIFS('Raw data'!E:E,E4,'Raw data'!K:K,"Paid")</f>
        <v>21</v>
      </c>
      <c r="H4" s="9">
        <f t="shared" si="2"/>
        <v>0.7789473684</v>
      </c>
      <c r="J4" s="6" t="s">
        <v>27</v>
      </c>
      <c r="K4" s="8">
        <f>COUNTIFS('Raw data'!J:J,J4,'Raw data'!K:K,"Defaulted")</f>
        <v>41</v>
      </c>
      <c r="L4" s="8">
        <f>COUNTIFS('Raw data'!J:J,J4,'Raw data'!K:K,"Paid")</f>
        <v>58</v>
      </c>
      <c r="M4" s="9">
        <f t="shared" si="3"/>
        <v>0.4141414141</v>
      </c>
      <c r="O4" s="6" t="s">
        <v>34</v>
      </c>
      <c r="P4" s="8">
        <f>COUNTIFS('Raw data'!L:L,O4,'Raw data'!K:K,"Defaulted")</f>
        <v>55</v>
      </c>
      <c r="Q4" s="8">
        <f>COUNTIFS('Raw data'!L:L,O4,'Raw data'!K:K,"Paid")</f>
        <v>6</v>
      </c>
      <c r="R4" s="9">
        <f t="shared" si="4"/>
        <v>0.9016393443</v>
      </c>
    </row>
    <row r="5">
      <c r="D5" s="9"/>
      <c r="H5" s="9"/>
      <c r="J5" s="6" t="s">
        <v>42</v>
      </c>
      <c r="K5" s="8">
        <f>COUNTIFS('Raw data'!J:J,J5,'Raw data'!K:K,"Defaulted")</f>
        <v>51</v>
      </c>
      <c r="L5" s="8">
        <f>COUNTIFS('Raw data'!J:J,J5,'Raw data'!K:K,"Paid")</f>
        <v>56</v>
      </c>
      <c r="M5" s="9">
        <f t="shared" si="3"/>
        <v>0.476635514</v>
      </c>
      <c r="R5" s="9"/>
    </row>
    <row r="6">
      <c r="D6" s="9"/>
      <c r="H6" s="9"/>
      <c r="M6" s="9"/>
      <c r="R6" s="9"/>
    </row>
    <row r="7">
      <c r="D7" s="9"/>
      <c r="H7" s="9"/>
      <c r="M7" s="9"/>
      <c r="R7" s="9"/>
    </row>
    <row r="8">
      <c r="D8" s="9"/>
      <c r="H8" s="9"/>
      <c r="M8" s="9"/>
      <c r="R8" s="9"/>
    </row>
    <row r="9">
      <c r="D9" s="9"/>
      <c r="H9" s="9"/>
      <c r="M9" s="9"/>
      <c r="R9" s="9"/>
    </row>
    <row r="10">
      <c r="D10" s="9"/>
      <c r="H10" s="9"/>
      <c r="M10" s="9"/>
      <c r="R10" s="9"/>
    </row>
    <row r="11">
      <c r="D11" s="9"/>
      <c r="H11" s="9"/>
      <c r="M11" s="9"/>
      <c r="R11" s="9"/>
    </row>
    <row r="12">
      <c r="D12" s="9"/>
      <c r="H12" s="9"/>
      <c r="M12" s="9"/>
      <c r="R12" s="9"/>
    </row>
    <row r="13">
      <c r="D13" s="9"/>
      <c r="H13" s="9"/>
      <c r="M13" s="9"/>
      <c r="R13" s="9"/>
    </row>
    <row r="14">
      <c r="D14" s="9"/>
      <c r="H14" s="9"/>
      <c r="M14" s="9"/>
      <c r="R14" s="9"/>
    </row>
    <row r="15">
      <c r="D15" s="9"/>
      <c r="H15" s="9"/>
      <c r="M15" s="9"/>
      <c r="R15" s="9"/>
    </row>
    <row r="16">
      <c r="D16" s="9"/>
      <c r="H16" s="9"/>
      <c r="M16" s="9"/>
      <c r="R16" s="9"/>
    </row>
    <row r="17">
      <c r="D17" s="9"/>
      <c r="H17" s="9"/>
      <c r="M17" s="9"/>
      <c r="R17" s="9"/>
    </row>
    <row r="18">
      <c r="D18" s="9"/>
      <c r="H18" s="9"/>
      <c r="M18" s="9"/>
      <c r="R18" s="9"/>
    </row>
    <row r="19">
      <c r="D19" s="9"/>
      <c r="H19" s="9"/>
      <c r="M19" s="9"/>
      <c r="R19" s="9"/>
    </row>
    <row r="20">
      <c r="D20" s="9"/>
      <c r="H20" s="9"/>
      <c r="M20" s="9"/>
      <c r="R20" s="9"/>
    </row>
    <row r="21">
      <c r="D21" s="9"/>
      <c r="H21" s="9"/>
      <c r="M21" s="9"/>
      <c r="R21" s="9"/>
    </row>
    <row r="22">
      <c r="D22" s="9"/>
      <c r="H22" s="9"/>
      <c r="M22" s="9"/>
      <c r="R22" s="9"/>
    </row>
    <row r="23">
      <c r="D23" s="9"/>
      <c r="H23" s="9"/>
      <c r="M23" s="9"/>
      <c r="R23" s="9"/>
    </row>
    <row r="24">
      <c r="D24" s="9"/>
      <c r="H24" s="9"/>
      <c r="M24" s="9"/>
      <c r="R24" s="9"/>
    </row>
    <row r="25">
      <c r="D25" s="9"/>
      <c r="H25" s="9"/>
      <c r="M25" s="9"/>
      <c r="R25" s="9"/>
    </row>
    <row r="26">
      <c r="D26" s="9"/>
      <c r="H26" s="9"/>
      <c r="M26" s="9"/>
      <c r="R26" s="9"/>
    </row>
    <row r="27">
      <c r="D27" s="9"/>
      <c r="H27" s="9"/>
      <c r="M27" s="9"/>
      <c r="R27" s="9"/>
    </row>
    <row r="28">
      <c r="D28" s="9"/>
      <c r="H28" s="9"/>
      <c r="M28" s="9"/>
      <c r="R28" s="9"/>
    </row>
    <row r="29">
      <c r="D29" s="9"/>
      <c r="H29" s="9"/>
      <c r="M29" s="9"/>
      <c r="R29" s="9"/>
    </row>
    <row r="30">
      <c r="D30" s="9"/>
      <c r="H30" s="9"/>
      <c r="M30" s="9"/>
      <c r="R30" s="9"/>
    </row>
    <row r="31">
      <c r="D31" s="9"/>
      <c r="H31" s="9"/>
      <c r="M31" s="9"/>
      <c r="R31" s="9"/>
    </row>
    <row r="32">
      <c r="D32" s="9"/>
      <c r="H32" s="9"/>
      <c r="M32" s="9"/>
      <c r="R32" s="9"/>
    </row>
    <row r="33">
      <c r="D33" s="9"/>
      <c r="H33" s="9"/>
      <c r="M33" s="9"/>
      <c r="R33" s="9"/>
    </row>
    <row r="34">
      <c r="D34" s="9"/>
      <c r="H34" s="9"/>
      <c r="M34" s="9"/>
      <c r="R34" s="9"/>
    </row>
    <row r="35">
      <c r="D35" s="9"/>
      <c r="H35" s="9"/>
      <c r="M35" s="9"/>
      <c r="R35" s="9"/>
    </row>
    <row r="36">
      <c r="D36" s="9"/>
      <c r="H36" s="9"/>
      <c r="M36" s="9"/>
      <c r="R36" s="9"/>
    </row>
    <row r="37">
      <c r="D37" s="9"/>
      <c r="H37" s="9"/>
      <c r="M37" s="9"/>
      <c r="R37" s="9"/>
    </row>
    <row r="38">
      <c r="D38" s="9"/>
      <c r="H38" s="9"/>
      <c r="M38" s="9"/>
      <c r="R38" s="9"/>
    </row>
    <row r="39">
      <c r="D39" s="9"/>
      <c r="H39" s="9"/>
      <c r="M39" s="9"/>
      <c r="R39" s="9"/>
    </row>
    <row r="40">
      <c r="D40" s="9"/>
      <c r="H40" s="9"/>
      <c r="M40" s="9"/>
      <c r="R40" s="9"/>
    </row>
    <row r="41">
      <c r="D41" s="9"/>
      <c r="H41" s="9"/>
      <c r="M41" s="9"/>
      <c r="R41" s="9"/>
    </row>
    <row r="42">
      <c r="D42" s="9"/>
      <c r="H42" s="9"/>
      <c r="M42" s="9"/>
      <c r="R42" s="9"/>
    </row>
    <row r="43">
      <c r="D43" s="9"/>
      <c r="H43" s="9"/>
      <c r="M43" s="9"/>
      <c r="R43" s="9"/>
    </row>
    <row r="44">
      <c r="D44" s="9"/>
      <c r="H44" s="9"/>
      <c r="M44" s="9"/>
      <c r="R44" s="9"/>
    </row>
    <row r="45">
      <c r="D45" s="9"/>
      <c r="H45" s="9"/>
      <c r="M45" s="9"/>
      <c r="R45" s="9"/>
    </row>
    <row r="46">
      <c r="D46" s="9"/>
      <c r="H46" s="9"/>
      <c r="M46" s="9"/>
      <c r="R46" s="9"/>
    </row>
    <row r="47">
      <c r="D47" s="9"/>
      <c r="H47" s="9"/>
      <c r="M47" s="9"/>
      <c r="R47" s="9"/>
    </row>
    <row r="48">
      <c r="D48" s="9"/>
      <c r="H48" s="9"/>
      <c r="M48" s="9"/>
      <c r="R48" s="9"/>
    </row>
    <row r="49">
      <c r="D49" s="9"/>
      <c r="H49" s="9"/>
      <c r="M49" s="9"/>
      <c r="R49" s="9"/>
    </row>
    <row r="50">
      <c r="D50" s="9"/>
      <c r="H50" s="9"/>
      <c r="M50" s="9"/>
      <c r="R50" s="9"/>
    </row>
    <row r="51">
      <c r="D51" s="9"/>
      <c r="H51" s="9"/>
      <c r="M51" s="9"/>
      <c r="R51" s="9"/>
    </row>
    <row r="52">
      <c r="D52" s="9"/>
      <c r="H52" s="9"/>
      <c r="M52" s="9"/>
      <c r="R52" s="9"/>
    </row>
    <row r="53">
      <c r="D53" s="9"/>
      <c r="H53" s="9"/>
      <c r="M53" s="9"/>
      <c r="R53" s="9"/>
    </row>
    <row r="54">
      <c r="D54" s="9"/>
      <c r="H54" s="9"/>
      <c r="M54" s="9"/>
      <c r="R54" s="9"/>
    </row>
    <row r="55">
      <c r="D55" s="9"/>
      <c r="H55" s="9"/>
      <c r="M55" s="9"/>
      <c r="R55" s="9"/>
    </row>
    <row r="56">
      <c r="D56" s="9"/>
      <c r="H56" s="9"/>
      <c r="M56" s="9"/>
      <c r="R56" s="9"/>
    </row>
    <row r="57">
      <c r="D57" s="9"/>
      <c r="H57" s="9"/>
      <c r="M57" s="9"/>
      <c r="R57" s="9"/>
    </row>
    <row r="58">
      <c r="D58" s="9"/>
      <c r="H58" s="9"/>
      <c r="M58" s="9"/>
      <c r="R58" s="9"/>
    </row>
    <row r="59">
      <c r="D59" s="9"/>
      <c r="H59" s="9"/>
      <c r="M59" s="9"/>
      <c r="R59" s="9"/>
    </row>
    <row r="60">
      <c r="D60" s="9"/>
      <c r="H60" s="9"/>
      <c r="M60" s="9"/>
      <c r="R60" s="9"/>
    </row>
    <row r="61">
      <c r="D61" s="9"/>
      <c r="H61" s="9"/>
      <c r="M61" s="9"/>
      <c r="R61" s="9"/>
    </row>
    <row r="62">
      <c r="D62" s="9"/>
      <c r="H62" s="9"/>
      <c r="M62" s="9"/>
      <c r="R62" s="9"/>
    </row>
    <row r="63">
      <c r="D63" s="9"/>
      <c r="H63" s="9"/>
      <c r="M63" s="9"/>
      <c r="R63" s="9"/>
    </row>
    <row r="64">
      <c r="D64" s="9"/>
      <c r="H64" s="9"/>
      <c r="M64" s="9"/>
      <c r="R64" s="9"/>
    </row>
    <row r="65">
      <c r="D65" s="9"/>
      <c r="H65" s="9"/>
      <c r="M65" s="9"/>
      <c r="R65" s="9"/>
    </row>
    <row r="66">
      <c r="D66" s="9"/>
      <c r="H66" s="9"/>
      <c r="M66" s="9"/>
      <c r="R66" s="9"/>
    </row>
    <row r="67">
      <c r="D67" s="9"/>
      <c r="H67" s="9"/>
      <c r="M67" s="9"/>
      <c r="R67" s="9"/>
    </row>
    <row r="68">
      <c r="D68" s="9"/>
      <c r="H68" s="9"/>
      <c r="M68" s="9"/>
      <c r="R68" s="9"/>
    </row>
    <row r="69">
      <c r="D69" s="9"/>
      <c r="H69" s="9"/>
      <c r="M69" s="9"/>
      <c r="R69" s="9"/>
    </row>
    <row r="70">
      <c r="D70" s="9"/>
      <c r="H70" s="9"/>
      <c r="M70" s="9"/>
      <c r="R70" s="9"/>
    </row>
    <row r="71">
      <c r="D71" s="9"/>
      <c r="H71" s="9"/>
      <c r="M71" s="9"/>
      <c r="R71" s="9"/>
    </row>
    <row r="72">
      <c r="D72" s="9"/>
      <c r="H72" s="9"/>
      <c r="M72" s="9"/>
      <c r="R72" s="9"/>
    </row>
    <row r="73">
      <c r="D73" s="9"/>
      <c r="H73" s="9"/>
      <c r="M73" s="9"/>
      <c r="R73" s="9"/>
    </row>
    <row r="74">
      <c r="D74" s="9"/>
      <c r="H74" s="9"/>
      <c r="M74" s="9"/>
      <c r="R74" s="9"/>
    </row>
    <row r="75">
      <c r="D75" s="9"/>
      <c r="H75" s="9"/>
      <c r="M75" s="9"/>
      <c r="R75" s="9"/>
    </row>
    <row r="76">
      <c r="D76" s="9"/>
      <c r="H76" s="9"/>
      <c r="M76" s="9"/>
      <c r="R76" s="9"/>
    </row>
    <row r="77">
      <c r="D77" s="9"/>
      <c r="H77" s="9"/>
      <c r="M77" s="9"/>
      <c r="R77" s="9"/>
    </row>
    <row r="78">
      <c r="D78" s="9"/>
      <c r="H78" s="9"/>
      <c r="M78" s="9"/>
      <c r="R78" s="9"/>
    </row>
    <row r="79">
      <c r="D79" s="9"/>
      <c r="H79" s="9"/>
      <c r="M79" s="9"/>
      <c r="R79" s="9"/>
    </row>
    <row r="80">
      <c r="D80" s="9"/>
      <c r="H80" s="9"/>
      <c r="M80" s="9"/>
      <c r="R80" s="9"/>
    </row>
    <row r="81">
      <c r="D81" s="9"/>
      <c r="H81" s="9"/>
      <c r="M81" s="9"/>
      <c r="R81" s="9"/>
    </row>
    <row r="82">
      <c r="D82" s="9"/>
      <c r="H82" s="9"/>
      <c r="M82" s="9"/>
      <c r="R82" s="9"/>
    </row>
    <row r="83">
      <c r="D83" s="9"/>
      <c r="H83" s="9"/>
      <c r="M83" s="9"/>
      <c r="R83" s="9"/>
    </row>
    <row r="84">
      <c r="D84" s="9"/>
      <c r="H84" s="9"/>
      <c r="M84" s="9"/>
      <c r="R84" s="9"/>
    </row>
    <row r="85">
      <c r="D85" s="9"/>
      <c r="H85" s="9"/>
      <c r="M85" s="9"/>
      <c r="R85" s="9"/>
    </row>
    <row r="86">
      <c r="D86" s="9"/>
      <c r="H86" s="9"/>
      <c r="M86" s="9"/>
      <c r="R86" s="9"/>
    </row>
    <row r="87">
      <c r="D87" s="9"/>
      <c r="H87" s="9"/>
      <c r="M87" s="9"/>
      <c r="R87" s="9"/>
    </row>
    <row r="88">
      <c r="D88" s="9"/>
      <c r="H88" s="9"/>
      <c r="M88" s="9"/>
      <c r="R88" s="9"/>
    </row>
    <row r="89">
      <c r="D89" s="9"/>
      <c r="H89" s="9"/>
      <c r="M89" s="9"/>
      <c r="R89" s="9"/>
    </row>
    <row r="90">
      <c r="D90" s="9"/>
      <c r="H90" s="9"/>
      <c r="M90" s="9"/>
      <c r="R90" s="9"/>
    </row>
    <row r="91">
      <c r="D91" s="9"/>
      <c r="H91" s="9"/>
      <c r="M91" s="9"/>
      <c r="R91" s="9"/>
    </row>
    <row r="92">
      <c r="D92" s="9"/>
      <c r="H92" s="9"/>
      <c r="M92" s="9"/>
      <c r="R92" s="9"/>
    </row>
    <row r="93">
      <c r="D93" s="9"/>
      <c r="H93" s="9"/>
      <c r="M93" s="9"/>
      <c r="R93" s="9"/>
    </row>
    <row r="94">
      <c r="D94" s="9"/>
      <c r="H94" s="9"/>
      <c r="M94" s="9"/>
      <c r="R94" s="9"/>
    </row>
    <row r="95">
      <c r="D95" s="9"/>
      <c r="H95" s="9"/>
      <c r="M95" s="9"/>
      <c r="R95" s="9"/>
    </row>
    <row r="96">
      <c r="D96" s="9"/>
      <c r="H96" s="9"/>
      <c r="M96" s="9"/>
      <c r="R96" s="9"/>
    </row>
    <row r="97">
      <c r="D97" s="9"/>
      <c r="H97" s="9"/>
      <c r="M97" s="9"/>
      <c r="R97" s="9"/>
    </row>
    <row r="98">
      <c r="D98" s="9"/>
      <c r="H98" s="9"/>
      <c r="M98" s="9"/>
      <c r="R98" s="9"/>
    </row>
    <row r="99">
      <c r="D99" s="9"/>
      <c r="H99" s="9"/>
      <c r="M99" s="9"/>
      <c r="R99" s="9"/>
    </row>
    <row r="100">
      <c r="D100" s="9"/>
      <c r="H100" s="9"/>
      <c r="M100" s="9"/>
      <c r="R100" s="9"/>
    </row>
    <row r="101">
      <c r="D101" s="9"/>
      <c r="H101" s="9"/>
      <c r="M101" s="9"/>
      <c r="R101" s="9"/>
    </row>
    <row r="102">
      <c r="D102" s="9"/>
      <c r="H102" s="9"/>
      <c r="M102" s="9"/>
      <c r="R102" s="9"/>
    </row>
    <row r="103">
      <c r="D103" s="9"/>
      <c r="H103" s="9"/>
      <c r="M103" s="9"/>
      <c r="R103" s="9"/>
    </row>
    <row r="104">
      <c r="D104" s="9"/>
      <c r="H104" s="9"/>
      <c r="M104" s="9"/>
      <c r="R104" s="9"/>
    </row>
    <row r="105">
      <c r="D105" s="9"/>
      <c r="H105" s="9"/>
      <c r="M105" s="9"/>
      <c r="R105" s="9"/>
    </row>
    <row r="106">
      <c r="D106" s="9"/>
      <c r="H106" s="9"/>
      <c r="M106" s="9"/>
      <c r="R106" s="9"/>
    </row>
    <row r="107">
      <c r="D107" s="9"/>
      <c r="H107" s="9"/>
      <c r="M107" s="9"/>
      <c r="R107" s="9"/>
    </row>
    <row r="108">
      <c r="D108" s="9"/>
      <c r="H108" s="9"/>
      <c r="M108" s="9"/>
      <c r="R108" s="9"/>
    </row>
    <row r="109">
      <c r="D109" s="9"/>
      <c r="H109" s="9"/>
      <c r="M109" s="9"/>
      <c r="R109" s="9"/>
    </row>
    <row r="110">
      <c r="D110" s="9"/>
      <c r="H110" s="9"/>
      <c r="M110" s="9"/>
      <c r="R110" s="9"/>
    </row>
    <row r="111">
      <c r="D111" s="9"/>
      <c r="H111" s="9"/>
      <c r="M111" s="9"/>
      <c r="R111" s="9"/>
    </row>
    <row r="112">
      <c r="D112" s="9"/>
      <c r="H112" s="9"/>
      <c r="M112" s="9"/>
      <c r="R112" s="9"/>
    </row>
    <row r="113">
      <c r="D113" s="9"/>
      <c r="H113" s="9"/>
      <c r="M113" s="9"/>
      <c r="R113" s="9"/>
    </row>
    <row r="114">
      <c r="D114" s="9"/>
      <c r="H114" s="9"/>
      <c r="M114" s="9"/>
      <c r="R114" s="9"/>
    </row>
    <row r="115">
      <c r="D115" s="9"/>
      <c r="H115" s="9"/>
      <c r="M115" s="9"/>
      <c r="R115" s="9"/>
    </row>
    <row r="116">
      <c r="D116" s="9"/>
      <c r="H116" s="9"/>
      <c r="M116" s="9"/>
      <c r="R116" s="9"/>
    </row>
    <row r="117">
      <c r="D117" s="9"/>
      <c r="H117" s="9"/>
      <c r="M117" s="9"/>
      <c r="R117" s="9"/>
    </row>
    <row r="118">
      <c r="D118" s="9"/>
      <c r="H118" s="9"/>
      <c r="M118" s="9"/>
      <c r="R118" s="9"/>
    </row>
    <row r="119">
      <c r="D119" s="9"/>
      <c r="H119" s="9"/>
      <c r="M119" s="9"/>
      <c r="R119" s="9"/>
    </row>
    <row r="120">
      <c r="D120" s="9"/>
      <c r="H120" s="9"/>
      <c r="M120" s="9"/>
      <c r="R120" s="9"/>
    </row>
    <row r="121">
      <c r="D121" s="9"/>
      <c r="H121" s="9"/>
      <c r="M121" s="9"/>
      <c r="R121" s="9"/>
    </row>
    <row r="122">
      <c r="D122" s="9"/>
      <c r="H122" s="9"/>
      <c r="M122" s="9"/>
      <c r="R122" s="9"/>
    </row>
    <row r="123">
      <c r="D123" s="9"/>
      <c r="H123" s="9"/>
      <c r="M123" s="9"/>
      <c r="R123" s="9"/>
    </row>
    <row r="124">
      <c r="D124" s="9"/>
      <c r="H124" s="9"/>
      <c r="M124" s="9"/>
      <c r="R124" s="9"/>
    </row>
    <row r="125">
      <c r="D125" s="9"/>
      <c r="H125" s="9"/>
      <c r="M125" s="9"/>
      <c r="R125" s="9"/>
    </row>
    <row r="126">
      <c r="D126" s="9"/>
      <c r="H126" s="9"/>
      <c r="M126" s="9"/>
      <c r="R126" s="9"/>
    </row>
    <row r="127">
      <c r="D127" s="9"/>
      <c r="H127" s="9"/>
      <c r="M127" s="9"/>
      <c r="R127" s="9"/>
    </row>
    <row r="128">
      <c r="D128" s="9"/>
      <c r="H128" s="9"/>
      <c r="M128" s="9"/>
      <c r="R128" s="9"/>
    </row>
    <row r="129">
      <c r="D129" s="9"/>
      <c r="H129" s="9"/>
      <c r="M129" s="9"/>
      <c r="R129" s="9"/>
    </row>
    <row r="130">
      <c r="D130" s="9"/>
      <c r="H130" s="9"/>
      <c r="M130" s="9"/>
      <c r="R130" s="9"/>
    </row>
    <row r="131">
      <c r="D131" s="9"/>
      <c r="H131" s="9"/>
      <c r="M131" s="9"/>
      <c r="R131" s="9"/>
    </row>
    <row r="132">
      <c r="D132" s="9"/>
      <c r="H132" s="9"/>
      <c r="M132" s="9"/>
      <c r="R132" s="9"/>
    </row>
    <row r="133">
      <c r="D133" s="9"/>
      <c r="H133" s="9"/>
      <c r="M133" s="9"/>
      <c r="R133" s="9"/>
    </row>
    <row r="134">
      <c r="D134" s="9"/>
      <c r="H134" s="9"/>
      <c r="M134" s="9"/>
      <c r="R134" s="9"/>
    </row>
    <row r="135">
      <c r="D135" s="9"/>
      <c r="H135" s="9"/>
      <c r="M135" s="9"/>
      <c r="R135" s="9"/>
    </row>
    <row r="136">
      <c r="D136" s="9"/>
      <c r="H136" s="9"/>
      <c r="M136" s="9"/>
      <c r="R136" s="9"/>
    </row>
    <row r="137">
      <c r="D137" s="9"/>
      <c r="H137" s="9"/>
      <c r="M137" s="9"/>
      <c r="R137" s="9"/>
    </row>
    <row r="138">
      <c r="D138" s="9"/>
      <c r="H138" s="9"/>
      <c r="M138" s="9"/>
      <c r="R138" s="9"/>
    </row>
    <row r="139">
      <c r="D139" s="9"/>
      <c r="H139" s="9"/>
      <c r="M139" s="9"/>
      <c r="R139" s="9"/>
    </row>
    <row r="140">
      <c r="D140" s="9"/>
      <c r="H140" s="9"/>
      <c r="M140" s="9"/>
      <c r="R140" s="9"/>
    </row>
    <row r="141">
      <c r="D141" s="9"/>
      <c r="H141" s="9"/>
      <c r="M141" s="9"/>
      <c r="R141" s="9"/>
    </row>
    <row r="142">
      <c r="D142" s="9"/>
      <c r="H142" s="9"/>
      <c r="M142" s="9"/>
      <c r="R142" s="9"/>
    </row>
    <row r="143">
      <c r="D143" s="9"/>
      <c r="H143" s="9"/>
      <c r="M143" s="9"/>
      <c r="R143" s="9"/>
    </row>
    <row r="144">
      <c r="D144" s="9"/>
      <c r="H144" s="9"/>
      <c r="M144" s="9"/>
      <c r="R144" s="9"/>
    </row>
    <row r="145">
      <c r="D145" s="9"/>
      <c r="H145" s="9"/>
      <c r="M145" s="9"/>
      <c r="R145" s="9"/>
    </row>
    <row r="146">
      <c r="D146" s="9"/>
      <c r="H146" s="9"/>
      <c r="M146" s="9"/>
      <c r="R146" s="9"/>
    </row>
    <row r="147">
      <c r="D147" s="9"/>
      <c r="H147" s="9"/>
      <c r="M147" s="9"/>
      <c r="R147" s="9"/>
    </row>
    <row r="148">
      <c r="D148" s="9"/>
      <c r="H148" s="9"/>
      <c r="M148" s="9"/>
      <c r="R148" s="9"/>
    </row>
    <row r="149">
      <c r="D149" s="9"/>
      <c r="H149" s="9"/>
      <c r="M149" s="9"/>
      <c r="R149" s="9"/>
    </row>
    <row r="150">
      <c r="D150" s="9"/>
      <c r="H150" s="9"/>
      <c r="M150" s="9"/>
      <c r="R150" s="9"/>
    </row>
    <row r="151">
      <c r="D151" s="9"/>
      <c r="H151" s="9"/>
      <c r="M151" s="9"/>
      <c r="R151" s="9"/>
    </row>
    <row r="152">
      <c r="D152" s="9"/>
      <c r="H152" s="9"/>
      <c r="M152" s="9"/>
      <c r="R152" s="9"/>
    </row>
    <row r="153">
      <c r="D153" s="9"/>
      <c r="H153" s="9"/>
      <c r="M153" s="9"/>
      <c r="R153" s="9"/>
    </row>
    <row r="154">
      <c r="D154" s="9"/>
      <c r="H154" s="9"/>
      <c r="M154" s="9"/>
      <c r="R154" s="9"/>
    </row>
    <row r="155">
      <c r="D155" s="9"/>
      <c r="H155" s="9"/>
      <c r="M155" s="9"/>
      <c r="R155" s="9"/>
    </row>
    <row r="156">
      <c r="D156" s="9"/>
      <c r="H156" s="9"/>
      <c r="M156" s="9"/>
      <c r="R156" s="9"/>
    </row>
    <row r="157">
      <c r="D157" s="9"/>
      <c r="H157" s="9"/>
      <c r="M157" s="9"/>
      <c r="R157" s="9"/>
    </row>
    <row r="158">
      <c r="D158" s="9"/>
      <c r="H158" s="9"/>
      <c r="M158" s="9"/>
      <c r="R158" s="9"/>
    </row>
    <row r="159">
      <c r="D159" s="9"/>
      <c r="H159" s="9"/>
      <c r="M159" s="9"/>
      <c r="R159" s="9"/>
    </row>
    <row r="160">
      <c r="D160" s="9"/>
      <c r="H160" s="9"/>
      <c r="M160" s="9"/>
      <c r="R160" s="9"/>
    </row>
    <row r="161">
      <c r="D161" s="9"/>
      <c r="H161" s="9"/>
      <c r="M161" s="9"/>
      <c r="R161" s="9"/>
    </row>
    <row r="162">
      <c r="D162" s="9"/>
      <c r="H162" s="9"/>
      <c r="M162" s="9"/>
      <c r="R162" s="9"/>
    </row>
    <row r="163">
      <c r="D163" s="9"/>
      <c r="H163" s="9"/>
      <c r="M163" s="9"/>
      <c r="R163" s="9"/>
    </row>
    <row r="164">
      <c r="D164" s="9"/>
      <c r="H164" s="9"/>
      <c r="M164" s="9"/>
      <c r="R164" s="9"/>
    </row>
    <row r="165">
      <c r="D165" s="9"/>
      <c r="H165" s="9"/>
      <c r="M165" s="9"/>
      <c r="R165" s="9"/>
    </row>
    <row r="166">
      <c r="D166" s="9"/>
      <c r="H166" s="9"/>
      <c r="M166" s="9"/>
      <c r="R166" s="9"/>
    </row>
    <row r="167">
      <c r="D167" s="9"/>
      <c r="H167" s="9"/>
      <c r="M167" s="9"/>
      <c r="R167" s="9"/>
    </row>
    <row r="168">
      <c r="D168" s="9"/>
      <c r="H168" s="9"/>
      <c r="M168" s="9"/>
      <c r="R168" s="9"/>
    </row>
    <row r="169">
      <c r="D169" s="9"/>
      <c r="H169" s="9"/>
      <c r="M169" s="9"/>
      <c r="R169" s="9"/>
    </row>
    <row r="170">
      <c r="D170" s="9"/>
      <c r="H170" s="9"/>
      <c r="M170" s="9"/>
      <c r="R170" s="9"/>
    </row>
    <row r="171">
      <c r="D171" s="9"/>
      <c r="H171" s="9"/>
      <c r="M171" s="9"/>
      <c r="R171" s="9"/>
    </row>
    <row r="172">
      <c r="D172" s="9"/>
      <c r="H172" s="9"/>
      <c r="M172" s="9"/>
      <c r="R172" s="9"/>
    </row>
    <row r="173">
      <c r="D173" s="9"/>
      <c r="H173" s="9"/>
      <c r="M173" s="9"/>
      <c r="R173" s="9"/>
    </row>
    <row r="174">
      <c r="D174" s="9"/>
      <c r="H174" s="9"/>
      <c r="M174" s="9"/>
      <c r="R174" s="9"/>
    </row>
    <row r="175">
      <c r="D175" s="9"/>
      <c r="H175" s="9"/>
      <c r="M175" s="9"/>
      <c r="R175" s="9"/>
    </row>
    <row r="176">
      <c r="D176" s="9"/>
      <c r="H176" s="9"/>
      <c r="M176" s="9"/>
      <c r="R176" s="9"/>
    </row>
    <row r="177">
      <c r="D177" s="9"/>
      <c r="H177" s="9"/>
      <c r="M177" s="9"/>
      <c r="R177" s="9"/>
    </row>
    <row r="178">
      <c r="D178" s="9"/>
      <c r="H178" s="9"/>
      <c r="M178" s="9"/>
      <c r="R178" s="9"/>
    </row>
    <row r="179">
      <c r="D179" s="9"/>
      <c r="H179" s="9"/>
      <c r="M179" s="9"/>
      <c r="R179" s="9"/>
    </row>
    <row r="180">
      <c r="D180" s="9"/>
      <c r="H180" s="9"/>
      <c r="M180" s="9"/>
      <c r="R180" s="9"/>
    </row>
    <row r="181">
      <c r="D181" s="9"/>
      <c r="H181" s="9"/>
      <c r="M181" s="9"/>
      <c r="R181" s="9"/>
    </row>
    <row r="182">
      <c r="D182" s="9"/>
      <c r="H182" s="9"/>
      <c r="M182" s="9"/>
      <c r="R182" s="9"/>
    </row>
    <row r="183">
      <c r="D183" s="9"/>
      <c r="H183" s="9"/>
      <c r="M183" s="9"/>
      <c r="R183" s="9"/>
    </row>
    <row r="184">
      <c r="D184" s="9"/>
      <c r="H184" s="9"/>
      <c r="M184" s="9"/>
      <c r="R184" s="9"/>
    </row>
    <row r="185">
      <c r="D185" s="9"/>
      <c r="H185" s="9"/>
      <c r="M185" s="9"/>
      <c r="R185" s="9"/>
    </row>
    <row r="186">
      <c r="D186" s="9"/>
      <c r="H186" s="9"/>
      <c r="M186" s="9"/>
      <c r="R186" s="9"/>
    </row>
    <row r="187">
      <c r="D187" s="9"/>
      <c r="H187" s="9"/>
      <c r="M187" s="9"/>
      <c r="R187" s="9"/>
    </row>
    <row r="188">
      <c r="D188" s="9"/>
      <c r="H188" s="9"/>
      <c r="M188" s="9"/>
      <c r="R188" s="9"/>
    </row>
    <row r="189">
      <c r="D189" s="9"/>
      <c r="H189" s="9"/>
      <c r="M189" s="9"/>
      <c r="R189" s="9"/>
    </row>
    <row r="190">
      <c r="D190" s="9"/>
      <c r="H190" s="9"/>
      <c r="M190" s="9"/>
      <c r="R190" s="9"/>
    </row>
    <row r="191">
      <c r="D191" s="9"/>
      <c r="H191" s="9"/>
      <c r="M191" s="9"/>
      <c r="R191" s="9"/>
    </row>
    <row r="192">
      <c r="D192" s="9"/>
      <c r="H192" s="9"/>
      <c r="M192" s="9"/>
      <c r="R192" s="9"/>
    </row>
    <row r="193">
      <c r="D193" s="9"/>
      <c r="H193" s="9"/>
      <c r="M193" s="9"/>
      <c r="R193" s="9"/>
    </row>
    <row r="194">
      <c r="D194" s="9"/>
      <c r="H194" s="9"/>
      <c r="M194" s="9"/>
      <c r="R194" s="9"/>
    </row>
    <row r="195">
      <c r="D195" s="9"/>
      <c r="H195" s="9"/>
      <c r="M195" s="9"/>
      <c r="R195" s="9"/>
    </row>
    <row r="196">
      <c r="D196" s="9"/>
      <c r="H196" s="9"/>
      <c r="M196" s="9"/>
      <c r="R196" s="9"/>
    </row>
    <row r="197">
      <c r="D197" s="9"/>
      <c r="H197" s="9"/>
      <c r="M197" s="9"/>
      <c r="R197" s="9"/>
    </row>
    <row r="198">
      <c r="D198" s="9"/>
      <c r="H198" s="9"/>
      <c r="M198" s="9"/>
      <c r="R198" s="9"/>
    </row>
    <row r="199">
      <c r="D199" s="9"/>
      <c r="H199" s="9"/>
      <c r="M199" s="9"/>
      <c r="R199" s="9"/>
    </row>
    <row r="200">
      <c r="D200" s="9"/>
      <c r="H200" s="9"/>
      <c r="M200" s="9"/>
      <c r="R200" s="9"/>
    </row>
    <row r="201">
      <c r="D201" s="9"/>
      <c r="H201" s="9"/>
      <c r="M201" s="9"/>
      <c r="R201" s="9"/>
    </row>
    <row r="202">
      <c r="D202" s="9"/>
      <c r="H202" s="9"/>
      <c r="M202" s="9"/>
      <c r="R202" s="9"/>
    </row>
    <row r="203">
      <c r="D203" s="9"/>
      <c r="H203" s="9"/>
      <c r="M203" s="9"/>
      <c r="R203" s="9"/>
    </row>
    <row r="204">
      <c r="D204" s="9"/>
      <c r="H204" s="9"/>
      <c r="M204" s="9"/>
      <c r="R204" s="9"/>
    </row>
    <row r="205">
      <c r="D205" s="9"/>
      <c r="H205" s="9"/>
      <c r="M205" s="9"/>
      <c r="R205" s="9"/>
    </row>
    <row r="206">
      <c r="D206" s="9"/>
      <c r="H206" s="9"/>
      <c r="M206" s="9"/>
      <c r="R206" s="9"/>
    </row>
    <row r="207">
      <c r="D207" s="9"/>
      <c r="H207" s="9"/>
      <c r="M207" s="9"/>
      <c r="R207" s="9"/>
    </row>
    <row r="208">
      <c r="D208" s="9"/>
      <c r="H208" s="9"/>
      <c r="M208" s="9"/>
      <c r="R208" s="9"/>
    </row>
    <row r="209">
      <c r="D209" s="9"/>
      <c r="H209" s="9"/>
      <c r="M209" s="9"/>
      <c r="R209" s="9"/>
    </row>
    <row r="210">
      <c r="D210" s="9"/>
      <c r="H210" s="9"/>
      <c r="M210" s="9"/>
      <c r="R210" s="9"/>
    </row>
    <row r="211">
      <c r="D211" s="9"/>
      <c r="H211" s="9"/>
      <c r="M211" s="9"/>
      <c r="R211" s="9"/>
    </row>
    <row r="212">
      <c r="D212" s="9"/>
      <c r="H212" s="9"/>
      <c r="M212" s="9"/>
      <c r="R212" s="9"/>
    </row>
    <row r="213">
      <c r="D213" s="9"/>
      <c r="H213" s="9"/>
      <c r="M213" s="9"/>
      <c r="R213" s="9"/>
    </row>
    <row r="214">
      <c r="D214" s="9"/>
      <c r="H214" s="9"/>
      <c r="M214" s="9"/>
      <c r="R214" s="9"/>
    </row>
    <row r="215">
      <c r="D215" s="9"/>
      <c r="H215" s="9"/>
      <c r="M215" s="9"/>
      <c r="R215" s="9"/>
    </row>
    <row r="216">
      <c r="D216" s="9"/>
      <c r="H216" s="9"/>
      <c r="M216" s="9"/>
      <c r="R216" s="9"/>
    </row>
    <row r="217">
      <c r="D217" s="9"/>
      <c r="H217" s="9"/>
      <c r="M217" s="9"/>
      <c r="R217" s="9"/>
    </row>
    <row r="218">
      <c r="D218" s="9"/>
      <c r="H218" s="9"/>
      <c r="M218" s="9"/>
      <c r="R218" s="9"/>
    </row>
    <row r="219">
      <c r="D219" s="9"/>
      <c r="H219" s="9"/>
      <c r="M219" s="9"/>
      <c r="R219" s="9"/>
    </row>
    <row r="220">
      <c r="D220" s="9"/>
      <c r="H220" s="9"/>
      <c r="M220" s="9"/>
      <c r="R220" s="9"/>
    </row>
    <row r="221">
      <c r="D221" s="9"/>
      <c r="H221" s="9"/>
      <c r="M221" s="9"/>
      <c r="R221" s="9"/>
    </row>
    <row r="222">
      <c r="D222" s="9"/>
      <c r="H222" s="9"/>
      <c r="M222" s="9"/>
      <c r="R222" s="9"/>
    </row>
    <row r="223">
      <c r="D223" s="9"/>
      <c r="H223" s="9"/>
      <c r="M223" s="9"/>
      <c r="R223" s="9"/>
    </row>
    <row r="224">
      <c r="D224" s="9"/>
      <c r="H224" s="9"/>
      <c r="M224" s="9"/>
      <c r="R224" s="9"/>
    </row>
    <row r="225">
      <c r="D225" s="9"/>
      <c r="H225" s="9"/>
      <c r="M225" s="9"/>
      <c r="R225" s="9"/>
    </row>
    <row r="226">
      <c r="D226" s="9"/>
      <c r="H226" s="9"/>
      <c r="M226" s="9"/>
      <c r="R226" s="9"/>
    </row>
    <row r="227">
      <c r="D227" s="9"/>
      <c r="H227" s="9"/>
      <c r="M227" s="9"/>
      <c r="R227" s="9"/>
    </row>
    <row r="228">
      <c r="D228" s="9"/>
      <c r="H228" s="9"/>
      <c r="M228" s="9"/>
      <c r="R228" s="9"/>
    </row>
    <row r="229">
      <c r="D229" s="9"/>
      <c r="H229" s="9"/>
      <c r="M229" s="9"/>
      <c r="R229" s="9"/>
    </row>
    <row r="230">
      <c r="D230" s="9"/>
      <c r="H230" s="9"/>
      <c r="M230" s="9"/>
      <c r="R230" s="9"/>
    </row>
    <row r="231">
      <c r="D231" s="9"/>
      <c r="H231" s="9"/>
      <c r="M231" s="9"/>
      <c r="R231" s="9"/>
    </row>
    <row r="232">
      <c r="D232" s="9"/>
      <c r="H232" s="9"/>
      <c r="M232" s="9"/>
      <c r="R232" s="9"/>
    </row>
    <row r="233">
      <c r="D233" s="9"/>
      <c r="H233" s="9"/>
      <c r="M233" s="9"/>
      <c r="R233" s="9"/>
    </row>
    <row r="234">
      <c r="D234" s="9"/>
      <c r="H234" s="9"/>
      <c r="M234" s="9"/>
      <c r="R234" s="9"/>
    </row>
    <row r="235">
      <c r="D235" s="9"/>
      <c r="H235" s="9"/>
      <c r="M235" s="9"/>
      <c r="R235" s="9"/>
    </row>
    <row r="236">
      <c r="D236" s="9"/>
      <c r="H236" s="9"/>
      <c r="M236" s="9"/>
      <c r="R236" s="9"/>
    </row>
    <row r="237">
      <c r="D237" s="9"/>
      <c r="H237" s="9"/>
      <c r="M237" s="9"/>
      <c r="R237" s="9"/>
    </row>
    <row r="238">
      <c r="D238" s="9"/>
      <c r="H238" s="9"/>
      <c r="M238" s="9"/>
      <c r="R238" s="9"/>
    </row>
    <row r="239">
      <c r="D239" s="9"/>
      <c r="H239" s="9"/>
      <c r="M239" s="9"/>
      <c r="R239" s="9"/>
    </row>
    <row r="240">
      <c r="D240" s="9"/>
      <c r="H240" s="9"/>
      <c r="M240" s="9"/>
      <c r="R240" s="9"/>
    </row>
    <row r="241">
      <c r="D241" s="9"/>
      <c r="H241" s="9"/>
      <c r="M241" s="9"/>
      <c r="R241" s="9"/>
    </row>
    <row r="242">
      <c r="D242" s="9"/>
      <c r="H242" s="9"/>
      <c r="M242" s="9"/>
      <c r="R242" s="9"/>
    </row>
    <row r="243">
      <c r="D243" s="9"/>
      <c r="H243" s="9"/>
      <c r="M243" s="9"/>
      <c r="R243" s="9"/>
    </row>
    <row r="244">
      <c r="D244" s="9"/>
      <c r="H244" s="9"/>
      <c r="M244" s="9"/>
      <c r="R244" s="9"/>
    </row>
    <row r="245">
      <c r="D245" s="9"/>
      <c r="H245" s="9"/>
      <c r="M245" s="9"/>
      <c r="R245" s="9"/>
    </row>
    <row r="246">
      <c r="D246" s="9"/>
      <c r="H246" s="9"/>
      <c r="M246" s="9"/>
      <c r="R246" s="9"/>
    </row>
    <row r="247">
      <c r="D247" s="9"/>
      <c r="H247" s="9"/>
      <c r="M247" s="9"/>
      <c r="R247" s="9"/>
    </row>
    <row r="248">
      <c r="D248" s="9"/>
      <c r="H248" s="9"/>
      <c r="M248" s="9"/>
      <c r="R248" s="9"/>
    </row>
    <row r="249">
      <c r="D249" s="9"/>
      <c r="H249" s="9"/>
      <c r="M249" s="9"/>
      <c r="R249" s="9"/>
    </row>
    <row r="250">
      <c r="D250" s="9"/>
      <c r="H250" s="9"/>
      <c r="M250" s="9"/>
      <c r="R250" s="9"/>
    </row>
    <row r="251">
      <c r="D251" s="9"/>
      <c r="H251" s="9"/>
      <c r="M251" s="9"/>
      <c r="R251" s="9"/>
    </row>
    <row r="252">
      <c r="D252" s="9"/>
      <c r="H252" s="9"/>
      <c r="M252" s="9"/>
      <c r="R252" s="9"/>
    </row>
    <row r="253">
      <c r="D253" s="9"/>
      <c r="H253" s="9"/>
      <c r="M253" s="9"/>
      <c r="R253" s="9"/>
    </row>
    <row r="254">
      <c r="D254" s="9"/>
      <c r="H254" s="9"/>
      <c r="M254" s="9"/>
      <c r="R254" s="9"/>
    </row>
    <row r="255">
      <c r="D255" s="9"/>
      <c r="H255" s="9"/>
      <c r="M255" s="9"/>
      <c r="R255" s="9"/>
    </row>
    <row r="256">
      <c r="D256" s="9"/>
      <c r="H256" s="9"/>
      <c r="M256" s="9"/>
      <c r="R256" s="9"/>
    </row>
    <row r="257">
      <c r="D257" s="9"/>
      <c r="H257" s="9"/>
      <c r="M257" s="9"/>
      <c r="R257" s="9"/>
    </row>
    <row r="258">
      <c r="D258" s="9"/>
      <c r="H258" s="9"/>
      <c r="M258" s="9"/>
      <c r="R258" s="9"/>
    </row>
    <row r="259">
      <c r="D259" s="9"/>
      <c r="H259" s="9"/>
      <c r="M259" s="9"/>
      <c r="R259" s="9"/>
    </row>
    <row r="260">
      <c r="D260" s="9"/>
      <c r="H260" s="9"/>
      <c r="M260" s="9"/>
      <c r="R260" s="9"/>
    </row>
    <row r="261">
      <c r="D261" s="9"/>
      <c r="H261" s="9"/>
      <c r="M261" s="9"/>
      <c r="R261" s="9"/>
    </row>
    <row r="262">
      <c r="D262" s="9"/>
      <c r="H262" s="9"/>
      <c r="M262" s="9"/>
      <c r="R262" s="9"/>
    </row>
    <row r="263">
      <c r="D263" s="9"/>
      <c r="H263" s="9"/>
      <c r="M263" s="9"/>
      <c r="R263" s="9"/>
    </row>
    <row r="264">
      <c r="D264" s="9"/>
      <c r="H264" s="9"/>
      <c r="M264" s="9"/>
      <c r="R264" s="9"/>
    </row>
    <row r="265">
      <c r="D265" s="9"/>
      <c r="H265" s="9"/>
      <c r="M265" s="9"/>
      <c r="R265" s="9"/>
    </row>
    <row r="266">
      <c r="D266" s="9"/>
      <c r="H266" s="9"/>
      <c r="M266" s="9"/>
      <c r="R266" s="9"/>
    </row>
    <row r="267">
      <c r="D267" s="9"/>
      <c r="H267" s="9"/>
      <c r="M267" s="9"/>
      <c r="R267" s="9"/>
    </row>
    <row r="268">
      <c r="D268" s="9"/>
      <c r="H268" s="9"/>
      <c r="M268" s="9"/>
      <c r="R268" s="9"/>
    </row>
    <row r="269">
      <c r="D269" s="9"/>
      <c r="H269" s="9"/>
      <c r="M269" s="9"/>
      <c r="R269" s="9"/>
    </row>
    <row r="270">
      <c r="D270" s="9"/>
      <c r="H270" s="9"/>
      <c r="M270" s="9"/>
      <c r="R270" s="9"/>
    </row>
    <row r="271">
      <c r="D271" s="9"/>
      <c r="H271" s="9"/>
      <c r="M271" s="9"/>
      <c r="R271" s="9"/>
    </row>
    <row r="272">
      <c r="D272" s="9"/>
      <c r="H272" s="9"/>
      <c r="M272" s="9"/>
      <c r="R272" s="9"/>
    </row>
    <row r="273">
      <c r="D273" s="9"/>
      <c r="H273" s="9"/>
      <c r="M273" s="9"/>
      <c r="R273" s="9"/>
    </row>
    <row r="274">
      <c r="D274" s="9"/>
      <c r="H274" s="9"/>
      <c r="M274" s="9"/>
      <c r="R274" s="9"/>
    </row>
    <row r="275">
      <c r="D275" s="9"/>
      <c r="H275" s="9"/>
      <c r="M275" s="9"/>
      <c r="R275" s="9"/>
    </row>
    <row r="276">
      <c r="D276" s="9"/>
      <c r="H276" s="9"/>
      <c r="M276" s="9"/>
      <c r="R276" s="9"/>
    </row>
    <row r="277">
      <c r="D277" s="9"/>
      <c r="H277" s="9"/>
      <c r="M277" s="9"/>
      <c r="R277" s="9"/>
    </row>
    <row r="278">
      <c r="D278" s="9"/>
      <c r="H278" s="9"/>
      <c r="M278" s="9"/>
      <c r="R278" s="9"/>
    </row>
    <row r="279">
      <c r="D279" s="9"/>
      <c r="H279" s="9"/>
      <c r="M279" s="9"/>
      <c r="R279" s="9"/>
    </row>
    <row r="280">
      <c r="D280" s="9"/>
      <c r="H280" s="9"/>
      <c r="M280" s="9"/>
      <c r="R280" s="9"/>
    </row>
    <row r="281">
      <c r="D281" s="9"/>
      <c r="H281" s="9"/>
      <c r="M281" s="9"/>
      <c r="R281" s="9"/>
    </row>
    <row r="282">
      <c r="D282" s="9"/>
      <c r="H282" s="9"/>
      <c r="M282" s="9"/>
      <c r="R282" s="9"/>
    </row>
    <row r="283">
      <c r="D283" s="9"/>
      <c r="H283" s="9"/>
      <c r="M283" s="9"/>
      <c r="R283" s="9"/>
    </row>
    <row r="284">
      <c r="D284" s="9"/>
      <c r="H284" s="9"/>
      <c r="M284" s="9"/>
      <c r="R284" s="9"/>
    </row>
    <row r="285">
      <c r="D285" s="9"/>
      <c r="H285" s="9"/>
      <c r="M285" s="9"/>
      <c r="R285" s="9"/>
    </row>
    <row r="286">
      <c r="D286" s="9"/>
      <c r="H286" s="9"/>
      <c r="M286" s="9"/>
      <c r="R286" s="9"/>
    </row>
    <row r="287">
      <c r="D287" s="9"/>
      <c r="H287" s="9"/>
      <c r="M287" s="9"/>
      <c r="R287" s="9"/>
    </row>
    <row r="288">
      <c r="D288" s="9"/>
      <c r="H288" s="9"/>
      <c r="M288" s="9"/>
      <c r="R288" s="9"/>
    </row>
    <row r="289">
      <c r="D289" s="9"/>
      <c r="H289" s="9"/>
      <c r="M289" s="9"/>
      <c r="R289" s="9"/>
    </row>
    <row r="290">
      <c r="D290" s="9"/>
      <c r="H290" s="9"/>
      <c r="M290" s="9"/>
      <c r="R290" s="9"/>
    </row>
    <row r="291">
      <c r="D291" s="9"/>
      <c r="H291" s="9"/>
      <c r="M291" s="9"/>
      <c r="R291" s="9"/>
    </row>
    <row r="292">
      <c r="D292" s="9"/>
      <c r="H292" s="9"/>
      <c r="M292" s="9"/>
      <c r="R292" s="9"/>
    </row>
    <row r="293">
      <c r="D293" s="9"/>
      <c r="H293" s="9"/>
      <c r="M293" s="9"/>
      <c r="R293" s="9"/>
    </row>
    <row r="294">
      <c r="D294" s="9"/>
      <c r="H294" s="9"/>
      <c r="M294" s="9"/>
      <c r="R294" s="9"/>
    </row>
    <row r="295">
      <c r="D295" s="9"/>
      <c r="H295" s="9"/>
      <c r="M295" s="9"/>
      <c r="R295" s="9"/>
    </row>
    <row r="296">
      <c r="D296" s="9"/>
      <c r="H296" s="9"/>
      <c r="M296" s="9"/>
      <c r="R296" s="9"/>
    </row>
    <row r="297">
      <c r="D297" s="9"/>
      <c r="H297" s="9"/>
      <c r="M297" s="9"/>
      <c r="R297" s="9"/>
    </row>
    <row r="298">
      <c r="D298" s="9"/>
      <c r="H298" s="9"/>
      <c r="M298" s="9"/>
      <c r="R298" s="9"/>
    </row>
    <row r="299">
      <c r="D299" s="9"/>
      <c r="H299" s="9"/>
      <c r="M299" s="9"/>
      <c r="R299" s="9"/>
    </row>
    <row r="300">
      <c r="D300" s="9"/>
      <c r="H300" s="9"/>
      <c r="M300" s="9"/>
      <c r="R300" s="9"/>
    </row>
    <row r="301">
      <c r="D301" s="9"/>
      <c r="H301" s="9"/>
      <c r="M301" s="9"/>
      <c r="R301" s="9"/>
    </row>
    <row r="302">
      <c r="D302" s="9"/>
      <c r="H302" s="9"/>
      <c r="M302" s="9"/>
      <c r="R302" s="9"/>
    </row>
    <row r="303">
      <c r="D303" s="9"/>
      <c r="H303" s="9"/>
      <c r="M303" s="9"/>
      <c r="R303" s="9"/>
    </row>
    <row r="304">
      <c r="D304" s="9"/>
      <c r="H304" s="9"/>
      <c r="M304" s="9"/>
      <c r="R304" s="9"/>
    </row>
    <row r="305">
      <c r="D305" s="9"/>
      <c r="H305" s="9"/>
      <c r="M305" s="9"/>
      <c r="R305" s="9"/>
    </row>
    <row r="306">
      <c r="D306" s="9"/>
      <c r="H306" s="9"/>
      <c r="M306" s="9"/>
      <c r="R306" s="9"/>
    </row>
    <row r="307">
      <c r="D307" s="9"/>
      <c r="H307" s="9"/>
      <c r="M307" s="9"/>
      <c r="R307" s="9"/>
    </row>
    <row r="308">
      <c r="D308" s="9"/>
      <c r="H308" s="9"/>
      <c r="M308" s="9"/>
      <c r="R308" s="9"/>
    </row>
    <row r="309">
      <c r="D309" s="9"/>
      <c r="H309" s="9"/>
      <c r="M309" s="9"/>
      <c r="R309" s="9"/>
    </row>
    <row r="310">
      <c r="D310" s="9"/>
      <c r="H310" s="9"/>
      <c r="M310" s="9"/>
      <c r="R310" s="9"/>
    </row>
    <row r="311">
      <c r="D311" s="9"/>
      <c r="H311" s="9"/>
      <c r="M311" s="9"/>
      <c r="R311" s="9"/>
    </row>
    <row r="312">
      <c r="D312" s="9"/>
      <c r="H312" s="9"/>
      <c r="M312" s="9"/>
      <c r="R312" s="9"/>
    </row>
    <row r="313">
      <c r="D313" s="9"/>
      <c r="H313" s="9"/>
      <c r="M313" s="9"/>
      <c r="R313" s="9"/>
    </row>
    <row r="314">
      <c r="D314" s="9"/>
      <c r="H314" s="9"/>
      <c r="M314" s="9"/>
      <c r="R314" s="9"/>
    </row>
    <row r="315">
      <c r="D315" s="9"/>
      <c r="H315" s="9"/>
      <c r="M315" s="9"/>
      <c r="R315" s="9"/>
    </row>
    <row r="316">
      <c r="D316" s="9"/>
      <c r="H316" s="9"/>
      <c r="M316" s="9"/>
      <c r="R316" s="9"/>
    </row>
    <row r="317">
      <c r="D317" s="9"/>
      <c r="H317" s="9"/>
      <c r="M317" s="9"/>
      <c r="R317" s="9"/>
    </row>
    <row r="318">
      <c r="D318" s="9"/>
      <c r="H318" s="9"/>
      <c r="M318" s="9"/>
      <c r="R318" s="9"/>
    </row>
    <row r="319">
      <c r="D319" s="9"/>
      <c r="H319" s="9"/>
      <c r="M319" s="9"/>
      <c r="R319" s="9"/>
    </row>
    <row r="320">
      <c r="D320" s="9"/>
      <c r="H320" s="9"/>
      <c r="M320" s="9"/>
      <c r="R320" s="9"/>
    </row>
    <row r="321">
      <c r="D321" s="9"/>
      <c r="H321" s="9"/>
      <c r="M321" s="9"/>
      <c r="R321" s="9"/>
    </row>
    <row r="322">
      <c r="D322" s="9"/>
      <c r="H322" s="9"/>
      <c r="M322" s="9"/>
      <c r="R322" s="9"/>
    </row>
    <row r="323">
      <c r="D323" s="9"/>
      <c r="H323" s="9"/>
      <c r="M323" s="9"/>
      <c r="R323" s="9"/>
    </row>
    <row r="324">
      <c r="D324" s="9"/>
      <c r="H324" s="9"/>
      <c r="M324" s="9"/>
      <c r="R324" s="9"/>
    </row>
    <row r="325">
      <c r="D325" s="9"/>
      <c r="H325" s="9"/>
      <c r="M325" s="9"/>
      <c r="R325" s="9"/>
    </row>
    <row r="326">
      <c r="D326" s="9"/>
      <c r="H326" s="9"/>
      <c r="M326" s="9"/>
      <c r="R326" s="9"/>
    </row>
    <row r="327">
      <c r="D327" s="9"/>
      <c r="H327" s="9"/>
      <c r="M327" s="9"/>
      <c r="R327" s="9"/>
    </row>
    <row r="328">
      <c r="D328" s="9"/>
      <c r="H328" s="9"/>
      <c r="M328" s="9"/>
      <c r="R328" s="9"/>
    </row>
    <row r="329">
      <c r="D329" s="9"/>
      <c r="H329" s="9"/>
      <c r="M329" s="9"/>
      <c r="R329" s="9"/>
    </row>
    <row r="330">
      <c r="D330" s="9"/>
      <c r="H330" s="9"/>
      <c r="M330" s="9"/>
      <c r="R330" s="9"/>
    </row>
    <row r="331">
      <c r="D331" s="9"/>
      <c r="H331" s="9"/>
      <c r="M331" s="9"/>
      <c r="R331" s="9"/>
    </row>
    <row r="332">
      <c r="D332" s="9"/>
      <c r="H332" s="9"/>
      <c r="M332" s="9"/>
      <c r="R332" s="9"/>
    </row>
    <row r="333">
      <c r="D333" s="9"/>
      <c r="H333" s="9"/>
      <c r="M333" s="9"/>
      <c r="R333" s="9"/>
    </row>
    <row r="334">
      <c r="D334" s="9"/>
      <c r="H334" s="9"/>
      <c r="M334" s="9"/>
      <c r="R334" s="9"/>
    </row>
    <row r="335">
      <c r="D335" s="9"/>
      <c r="H335" s="9"/>
      <c r="M335" s="9"/>
      <c r="R335" s="9"/>
    </row>
    <row r="336">
      <c r="D336" s="9"/>
      <c r="H336" s="9"/>
      <c r="M336" s="9"/>
      <c r="R336" s="9"/>
    </row>
    <row r="337">
      <c r="D337" s="9"/>
      <c r="H337" s="9"/>
      <c r="M337" s="9"/>
      <c r="R337" s="9"/>
    </row>
    <row r="338">
      <c r="D338" s="9"/>
      <c r="H338" s="9"/>
      <c r="M338" s="9"/>
      <c r="R338" s="9"/>
    </row>
    <row r="339">
      <c r="D339" s="9"/>
      <c r="H339" s="9"/>
      <c r="M339" s="9"/>
      <c r="R339" s="9"/>
    </row>
    <row r="340">
      <c r="D340" s="9"/>
      <c r="H340" s="9"/>
      <c r="M340" s="9"/>
      <c r="R340" s="9"/>
    </row>
    <row r="341">
      <c r="D341" s="9"/>
      <c r="H341" s="9"/>
      <c r="M341" s="9"/>
      <c r="R341" s="9"/>
    </row>
    <row r="342">
      <c r="D342" s="9"/>
      <c r="H342" s="9"/>
      <c r="M342" s="9"/>
      <c r="R342" s="9"/>
    </row>
    <row r="343">
      <c r="D343" s="9"/>
      <c r="H343" s="9"/>
      <c r="M343" s="9"/>
      <c r="R343" s="9"/>
    </row>
    <row r="344">
      <c r="D344" s="9"/>
      <c r="H344" s="9"/>
      <c r="M344" s="9"/>
      <c r="R344" s="9"/>
    </row>
    <row r="345">
      <c r="D345" s="9"/>
      <c r="H345" s="9"/>
      <c r="M345" s="9"/>
      <c r="R345" s="9"/>
    </row>
    <row r="346">
      <c r="D346" s="9"/>
      <c r="H346" s="9"/>
      <c r="M346" s="9"/>
      <c r="R346" s="9"/>
    </row>
    <row r="347">
      <c r="D347" s="9"/>
      <c r="H347" s="9"/>
      <c r="M347" s="9"/>
      <c r="R347" s="9"/>
    </row>
    <row r="348">
      <c r="D348" s="9"/>
      <c r="H348" s="9"/>
      <c r="M348" s="9"/>
      <c r="R348" s="9"/>
    </row>
    <row r="349">
      <c r="D349" s="9"/>
      <c r="H349" s="9"/>
      <c r="M349" s="9"/>
      <c r="R349" s="9"/>
    </row>
    <row r="350">
      <c r="D350" s="9"/>
      <c r="H350" s="9"/>
      <c r="M350" s="9"/>
      <c r="R350" s="9"/>
    </row>
    <row r="351">
      <c r="D351" s="9"/>
      <c r="H351" s="9"/>
      <c r="M351" s="9"/>
      <c r="R351" s="9"/>
    </row>
    <row r="352">
      <c r="D352" s="9"/>
      <c r="H352" s="9"/>
      <c r="M352" s="9"/>
      <c r="R352" s="9"/>
    </row>
    <row r="353">
      <c r="D353" s="9"/>
      <c r="H353" s="9"/>
      <c r="M353" s="9"/>
      <c r="R353" s="9"/>
    </row>
    <row r="354">
      <c r="D354" s="9"/>
      <c r="H354" s="9"/>
      <c r="M354" s="9"/>
      <c r="R354" s="9"/>
    </row>
    <row r="355">
      <c r="D355" s="9"/>
      <c r="H355" s="9"/>
      <c r="M355" s="9"/>
      <c r="R355" s="9"/>
    </row>
    <row r="356">
      <c r="D356" s="9"/>
      <c r="H356" s="9"/>
      <c r="M356" s="9"/>
      <c r="R356" s="9"/>
    </row>
    <row r="357">
      <c r="D357" s="9"/>
      <c r="H357" s="9"/>
      <c r="M357" s="9"/>
      <c r="R357" s="9"/>
    </row>
    <row r="358">
      <c r="D358" s="9"/>
      <c r="H358" s="9"/>
      <c r="M358" s="9"/>
      <c r="R358" s="9"/>
    </row>
    <row r="359">
      <c r="D359" s="9"/>
      <c r="H359" s="9"/>
      <c r="M359" s="9"/>
      <c r="R359" s="9"/>
    </row>
    <row r="360">
      <c r="D360" s="9"/>
      <c r="H360" s="9"/>
      <c r="M360" s="9"/>
      <c r="R360" s="9"/>
    </row>
    <row r="361">
      <c r="D361" s="9"/>
      <c r="H361" s="9"/>
      <c r="M361" s="9"/>
      <c r="R361" s="9"/>
    </row>
    <row r="362">
      <c r="D362" s="9"/>
      <c r="H362" s="9"/>
      <c r="M362" s="9"/>
      <c r="R362" s="9"/>
    </row>
    <row r="363">
      <c r="D363" s="9"/>
      <c r="H363" s="9"/>
      <c r="M363" s="9"/>
      <c r="R363" s="9"/>
    </row>
    <row r="364">
      <c r="D364" s="9"/>
      <c r="H364" s="9"/>
      <c r="M364" s="9"/>
      <c r="R364" s="9"/>
    </row>
    <row r="365">
      <c r="D365" s="9"/>
      <c r="H365" s="9"/>
      <c r="M365" s="9"/>
      <c r="R365" s="9"/>
    </row>
    <row r="366">
      <c r="D366" s="9"/>
      <c r="H366" s="9"/>
      <c r="M366" s="9"/>
      <c r="R366" s="9"/>
    </row>
    <row r="367">
      <c r="D367" s="9"/>
      <c r="H367" s="9"/>
      <c r="M367" s="9"/>
      <c r="R367" s="9"/>
    </row>
    <row r="368">
      <c r="D368" s="9"/>
      <c r="H368" s="9"/>
      <c r="M368" s="9"/>
      <c r="R368" s="9"/>
    </row>
    <row r="369">
      <c r="D369" s="9"/>
      <c r="H369" s="9"/>
      <c r="M369" s="9"/>
      <c r="R369" s="9"/>
    </row>
    <row r="370">
      <c r="D370" s="9"/>
      <c r="H370" s="9"/>
      <c r="M370" s="9"/>
      <c r="R370" s="9"/>
    </row>
    <row r="371">
      <c r="D371" s="9"/>
      <c r="H371" s="9"/>
      <c r="M371" s="9"/>
      <c r="R371" s="9"/>
    </row>
    <row r="372">
      <c r="D372" s="9"/>
      <c r="H372" s="9"/>
      <c r="M372" s="9"/>
      <c r="R372" s="9"/>
    </row>
    <row r="373">
      <c r="D373" s="9"/>
      <c r="H373" s="9"/>
      <c r="M373" s="9"/>
      <c r="R373" s="9"/>
    </row>
    <row r="374">
      <c r="D374" s="9"/>
      <c r="H374" s="9"/>
      <c r="M374" s="9"/>
      <c r="R374" s="9"/>
    </row>
    <row r="375">
      <c r="D375" s="9"/>
      <c r="H375" s="9"/>
      <c r="M375" s="9"/>
      <c r="R375" s="9"/>
    </row>
    <row r="376">
      <c r="D376" s="9"/>
      <c r="H376" s="9"/>
      <c r="M376" s="9"/>
      <c r="R376" s="9"/>
    </row>
    <row r="377">
      <c r="D377" s="9"/>
      <c r="H377" s="9"/>
      <c r="M377" s="9"/>
      <c r="R377" s="9"/>
    </row>
    <row r="378">
      <c r="D378" s="9"/>
      <c r="H378" s="9"/>
      <c r="M378" s="9"/>
      <c r="R378" s="9"/>
    </row>
    <row r="379">
      <c r="D379" s="9"/>
      <c r="H379" s="9"/>
      <c r="M379" s="9"/>
      <c r="R379" s="9"/>
    </row>
    <row r="380">
      <c r="D380" s="9"/>
      <c r="H380" s="9"/>
      <c r="M380" s="9"/>
      <c r="R380" s="9"/>
    </row>
    <row r="381">
      <c r="D381" s="9"/>
      <c r="H381" s="9"/>
      <c r="M381" s="9"/>
      <c r="R381" s="9"/>
    </row>
    <row r="382">
      <c r="D382" s="9"/>
      <c r="H382" s="9"/>
      <c r="M382" s="9"/>
      <c r="R382" s="9"/>
    </row>
    <row r="383">
      <c r="D383" s="9"/>
      <c r="H383" s="9"/>
      <c r="M383" s="9"/>
      <c r="R383" s="9"/>
    </row>
    <row r="384">
      <c r="D384" s="9"/>
      <c r="H384" s="9"/>
      <c r="M384" s="9"/>
      <c r="R384" s="9"/>
    </row>
    <row r="385">
      <c r="D385" s="9"/>
      <c r="H385" s="9"/>
      <c r="M385" s="9"/>
      <c r="R385" s="9"/>
    </row>
    <row r="386">
      <c r="D386" s="9"/>
      <c r="H386" s="9"/>
      <c r="M386" s="9"/>
      <c r="R386" s="9"/>
    </row>
    <row r="387">
      <c r="D387" s="9"/>
      <c r="H387" s="9"/>
      <c r="M387" s="9"/>
      <c r="R387" s="9"/>
    </row>
    <row r="388">
      <c r="D388" s="9"/>
      <c r="H388" s="9"/>
      <c r="M388" s="9"/>
      <c r="R388" s="9"/>
    </row>
    <row r="389">
      <c r="D389" s="9"/>
      <c r="H389" s="9"/>
      <c r="M389" s="9"/>
      <c r="R389" s="9"/>
    </row>
    <row r="390">
      <c r="D390" s="9"/>
      <c r="H390" s="9"/>
      <c r="M390" s="9"/>
      <c r="R390" s="9"/>
    </row>
    <row r="391">
      <c r="D391" s="9"/>
      <c r="H391" s="9"/>
      <c r="M391" s="9"/>
      <c r="R391" s="9"/>
    </row>
    <row r="392">
      <c r="D392" s="9"/>
      <c r="H392" s="9"/>
      <c r="M392" s="9"/>
      <c r="R392" s="9"/>
    </row>
    <row r="393">
      <c r="D393" s="9"/>
      <c r="H393" s="9"/>
      <c r="M393" s="9"/>
      <c r="R393" s="9"/>
    </row>
    <row r="394">
      <c r="D394" s="9"/>
      <c r="H394" s="9"/>
      <c r="M394" s="9"/>
      <c r="R394" s="9"/>
    </row>
    <row r="395">
      <c r="D395" s="9"/>
      <c r="H395" s="9"/>
      <c r="M395" s="9"/>
      <c r="R395" s="9"/>
    </row>
    <row r="396">
      <c r="D396" s="9"/>
      <c r="H396" s="9"/>
      <c r="M396" s="9"/>
      <c r="R396" s="9"/>
    </row>
    <row r="397">
      <c r="D397" s="9"/>
      <c r="H397" s="9"/>
      <c r="M397" s="9"/>
      <c r="R397" s="9"/>
    </row>
    <row r="398">
      <c r="D398" s="9"/>
      <c r="H398" s="9"/>
      <c r="M398" s="9"/>
      <c r="R398" s="9"/>
    </row>
    <row r="399">
      <c r="D399" s="9"/>
      <c r="H399" s="9"/>
      <c r="M399" s="9"/>
      <c r="R399" s="9"/>
    </row>
    <row r="400">
      <c r="D400" s="9"/>
      <c r="H400" s="9"/>
      <c r="M400" s="9"/>
      <c r="R400" s="9"/>
    </row>
    <row r="401">
      <c r="D401" s="9"/>
      <c r="H401" s="9"/>
      <c r="M401" s="9"/>
      <c r="R401" s="9"/>
    </row>
    <row r="402">
      <c r="D402" s="9"/>
      <c r="H402" s="9"/>
      <c r="M402" s="9"/>
      <c r="R402" s="9"/>
    </row>
    <row r="403">
      <c r="D403" s="9"/>
      <c r="H403" s="9"/>
      <c r="M403" s="9"/>
      <c r="R403" s="9"/>
    </row>
    <row r="404">
      <c r="D404" s="9"/>
      <c r="H404" s="9"/>
      <c r="M404" s="9"/>
      <c r="R404" s="9"/>
    </row>
    <row r="405">
      <c r="D405" s="9"/>
      <c r="H405" s="9"/>
      <c r="M405" s="9"/>
      <c r="R405" s="9"/>
    </row>
    <row r="406">
      <c r="D406" s="9"/>
      <c r="H406" s="9"/>
      <c r="M406" s="9"/>
      <c r="R406" s="9"/>
    </row>
    <row r="407">
      <c r="D407" s="9"/>
      <c r="H407" s="9"/>
      <c r="M407" s="9"/>
      <c r="R407" s="9"/>
    </row>
    <row r="408">
      <c r="D408" s="9"/>
      <c r="H408" s="9"/>
      <c r="M408" s="9"/>
      <c r="R408" s="9"/>
    </row>
    <row r="409">
      <c r="D409" s="9"/>
      <c r="H409" s="9"/>
      <c r="M409" s="9"/>
      <c r="R409" s="9"/>
    </row>
    <row r="410">
      <c r="D410" s="9"/>
      <c r="H410" s="9"/>
      <c r="M410" s="9"/>
      <c r="R410" s="9"/>
    </row>
    <row r="411">
      <c r="D411" s="9"/>
      <c r="H411" s="9"/>
      <c r="M411" s="9"/>
      <c r="R411" s="9"/>
    </row>
    <row r="412">
      <c r="D412" s="9"/>
      <c r="H412" s="9"/>
      <c r="M412" s="9"/>
      <c r="R412" s="9"/>
    </row>
    <row r="413">
      <c r="D413" s="9"/>
      <c r="H413" s="9"/>
      <c r="M413" s="9"/>
      <c r="R413" s="9"/>
    </row>
    <row r="414">
      <c r="D414" s="9"/>
      <c r="H414" s="9"/>
      <c r="M414" s="9"/>
      <c r="R414" s="9"/>
    </row>
    <row r="415">
      <c r="D415" s="9"/>
      <c r="H415" s="9"/>
      <c r="M415" s="9"/>
      <c r="R415" s="9"/>
    </row>
    <row r="416">
      <c r="D416" s="9"/>
      <c r="H416" s="9"/>
      <c r="M416" s="9"/>
      <c r="R416" s="9"/>
    </row>
    <row r="417">
      <c r="D417" s="9"/>
      <c r="H417" s="9"/>
      <c r="M417" s="9"/>
      <c r="R417" s="9"/>
    </row>
    <row r="418">
      <c r="D418" s="9"/>
      <c r="H418" s="9"/>
      <c r="M418" s="9"/>
      <c r="R418" s="9"/>
    </row>
    <row r="419">
      <c r="D419" s="9"/>
      <c r="H419" s="9"/>
      <c r="M419" s="9"/>
      <c r="R419" s="9"/>
    </row>
    <row r="420">
      <c r="D420" s="9"/>
      <c r="H420" s="9"/>
      <c r="M420" s="9"/>
      <c r="R420" s="9"/>
    </row>
    <row r="421">
      <c r="D421" s="9"/>
      <c r="H421" s="9"/>
      <c r="M421" s="9"/>
      <c r="R421" s="9"/>
    </row>
    <row r="422">
      <c r="D422" s="9"/>
      <c r="H422" s="9"/>
      <c r="M422" s="9"/>
      <c r="R422" s="9"/>
    </row>
    <row r="423">
      <c r="D423" s="9"/>
      <c r="H423" s="9"/>
      <c r="M423" s="9"/>
      <c r="R423" s="9"/>
    </row>
    <row r="424">
      <c r="D424" s="9"/>
      <c r="H424" s="9"/>
      <c r="M424" s="9"/>
      <c r="R424" s="9"/>
    </row>
    <row r="425">
      <c r="D425" s="9"/>
      <c r="H425" s="9"/>
      <c r="M425" s="9"/>
      <c r="R425" s="9"/>
    </row>
    <row r="426">
      <c r="D426" s="9"/>
      <c r="H426" s="9"/>
      <c r="M426" s="9"/>
      <c r="R426" s="9"/>
    </row>
    <row r="427">
      <c r="D427" s="9"/>
      <c r="H427" s="9"/>
      <c r="M427" s="9"/>
      <c r="R427" s="9"/>
    </row>
    <row r="428">
      <c r="D428" s="9"/>
      <c r="H428" s="9"/>
      <c r="M428" s="9"/>
      <c r="R428" s="9"/>
    </row>
    <row r="429">
      <c r="D429" s="9"/>
      <c r="H429" s="9"/>
      <c r="M429" s="9"/>
      <c r="R429" s="9"/>
    </row>
    <row r="430">
      <c r="D430" s="9"/>
      <c r="H430" s="9"/>
      <c r="M430" s="9"/>
      <c r="R430" s="9"/>
    </row>
    <row r="431">
      <c r="D431" s="9"/>
      <c r="H431" s="9"/>
      <c r="M431" s="9"/>
      <c r="R431" s="9"/>
    </row>
    <row r="432">
      <c r="D432" s="9"/>
      <c r="H432" s="9"/>
      <c r="M432" s="9"/>
      <c r="R432" s="9"/>
    </row>
    <row r="433">
      <c r="D433" s="9"/>
      <c r="H433" s="9"/>
      <c r="M433" s="9"/>
      <c r="R433" s="9"/>
    </row>
    <row r="434">
      <c r="D434" s="9"/>
      <c r="H434" s="9"/>
      <c r="M434" s="9"/>
      <c r="R434" s="9"/>
    </row>
    <row r="435">
      <c r="D435" s="9"/>
      <c r="H435" s="9"/>
      <c r="M435" s="9"/>
      <c r="R435" s="9"/>
    </row>
    <row r="436">
      <c r="D436" s="9"/>
      <c r="H436" s="9"/>
      <c r="M436" s="9"/>
      <c r="R436" s="9"/>
    </row>
    <row r="437">
      <c r="D437" s="9"/>
      <c r="H437" s="9"/>
      <c r="M437" s="9"/>
      <c r="R437" s="9"/>
    </row>
    <row r="438">
      <c r="D438" s="9"/>
      <c r="H438" s="9"/>
      <c r="M438" s="9"/>
      <c r="R438" s="9"/>
    </row>
    <row r="439">
      <c r="D439" s="9"/>
      <c r="H439" s="9"/>
      <c r="M439" s="9"/>
      <c r="R439" s="9"/>
    </row>
    <row r="440">
      <c r="D440" s="9"/>
      <c r="H440" s="9"/>
      <c r="M440" s="9"/>
      <c r="R440" s="9"/>
    </row>
    <row r="441">
      <c r="D441" s="9"/>
      <c r="H441" s="9"/>
      <c r="M441" s="9"/>
      <c r="R441" s="9"/>
    </row>
    <row r="442">
      <c r="D442" s="9"/>
      <c r="H442" s="9"/>
      <c r="M442" s="9"/>
      <c r="R442" s="9"/>
    </row>
    <row r="443">
      <c r="D443" s="9"/>
      <c r="H443" s="9"/>
      <c r="M443" s="9"/>
      <c r="R443" s="9"/>
    </row>
    <row r="444">
      <c r="D444" s="9"/>
      <c r="H444" s="9"/>
      <c r="M444" s="9"/>
      <c r="R444" s="9"/>
    </row>
    <row r="445">
      <c r="D445" s="9"/>
      <c r="H445" s="9"/>
      <c r="M445" s="9"/>
      <c r="R445" s="9"/>
    </row>
    <row r="446">
      <c r="D446" s="9"/>
      <c r="H446" s="9"/>
      <c r="M446" s="9"/>
      <c r="R446" s="9"/>
    </row>
    <row r="447">
      <c r="D447" s="9"/>
      <c r="H447" s="9"/>
      <c r="M447" s="9"/>
      <c r="R447" s="9"/>
    </row>
    <row r="448">
      <c r="D448" s="9"/>
      <c r="H448" s="9"/>
      <c r="M448" s="9"/>
      <c r="R448" s="9"/>
    </row>
    <row r="449">
      <c r="D449" s="9"/>
      <c r="H449" s="9"/>
      <c r="M449" s="9"/>
      <c r="R449" s="9"/>
    </row>
    <row r="450">
      <c r="D450" s="9"/>
      <c r="H450" s="9"/>
      <c r="M450" s="9"/>
      <c r="R450" s="9"/>
    </row>
    <row r="451">
      <c r="D451" s="9"/>
      <c r="H451" s="9"/>
      <c r="M451" s="9"/>
      <c r="R451" s="9"/>
    </row>
    <row r="452">
      <c r="D452" s="9"/>
      <c r="H452" s="9"/>
      <c r="M452" s="9"/>
      <c r="R452" s="9"/>
    </row>
    <row r="453">
      <c r="D453" s="9"/>
      <c r="H453" s="9"/>
      <c r="M453" s="9"/>
      <c r="R453" s="9"/>
    </row>
    <row r="454">
      <c r="D454" s="9"/>
      <c r="H454" s="9"/>
      <c r="M454" s="9"/>
      <c r="R454" s="9"/>
    </row>
    <row r="455">
      <c r="D455" s="9"/>
      <c r="H455" s="9"/>
      <c r="M455" s="9"/>
      <c r="R455" s="9"/>
    </row>
    <row r="456">
      <c r="D456" s="9"/>
      <c r="H456" s="9"/>
      <c r="M456" s="9"/>
      <c r="R456" s="9"/>
    </row>
    <row r="457">
      <c r="D457" s="9"/>
      <c r="H457" s="9"/>
      <c r="M457" s="9"/>
      <c r="R457" s="9"/>
    </row>
    <row r="458">
      <c r="D458" s="9"/>
      <c r="H458" s="9"/>
      <c r="M458" s="9"/>
      <c r="R458" s="9"/>
    </row>
    <row r="459">
      <c r="D459" s="9"/>
      <c r="H459" s="9"/>
      <c r="M459" s="9"/>
      <c r="R459" s="9"/>
    </row>
    <row r="460">
      <c r="D460" s="9"/>
      <c r="H460" s="9"/>
      <c r="M460" s="9"/>
      <c r="R460" s="9"/>
    </row>
    <row r="461">
      <c r="D461" s="9"/>
      <c r="H461" s="9"/>
      <c r="M461" s="9"/>
      <c r="R461" s="9"/>
    </row>
    <row r="462">
      <c r="D462" s="9"/>
      <c r="H462" s="9"/>
      <c r="M462" s="9"/>
      <c r="R462" s="9"/>
    </row>
    <row r="463">
      <c r="D463" s="9"/>
      <c r="H463" s="9"/>
      <c r="M463" s="9"/>
      <c r="R463" s="9"/>
    </row>
    <row r="464">
      <c r="D464" s="9"/>
      <c r="H464" s="9"/>
      <c r="M464" s="9"/>
      <c r="R464" s="9"/>
    </row>
    <row r="465">
      <c r="D465" s="9"/>
      <c r="H465" s="9"/>
      <c r="M465" s="9"/>
      <c r="R465" s="9"/>
    </row>
    <row r="466">
      <c r="D466" s="9"/>
      <c r="H466" s="9"/>
      <c r="M466" s="9"/>
      <c r="R466" s="9"/>
    </row>
    <row r="467">
      <c r="D467" s="9"/>
      <c r="H467" s="9"/>
      <c r="M467" s="9"/>
      <c r="R467" s="9"/>
    </row>
    <row r="468">
      <c r="D468" s="9"/>
      <c r="H468" s="9"/>
      <c r="M468" s="9"/>
      <c r="R468" s="9"/>
    </row>
    <row r="469">
      <c r="D469" s="9"/>
      <c r="H469" s="9"/>
      <c r="M469" s="9"/>
      <c r="R469" s="9"/>
    </row>
    <row r="470">
      <c r="D470" s="9"/>
      <c r="H470" s="9"/>
      <c r="M470" s="9"/>
      <c r="R470" s="9"/>
    </row>
    <row r="471">
      <c r="D471" s="9"/>
      <c r="H471" s="9"/>
      <c r="M471" s="9"/>
      <c r="R471" s="9"/>
    </row>
    <row r="472">
      <c r="D472" s="9"/>
      <c r="H472" s="9"/>
      <c r="M472" s="9"/>
      <c r="R472" s="9"/>
    </row>
    <row r="473">
      <c r="D473" s="9"/>
      <c r="H473" s="9"/>
      <c r="M473" s="9"/>
      <c r="R473" s="9"/>
    </row>
    <row r="474">
      <c r="D474" s="9"/>
      <c r="H474" s="9"/>
      <c r="M474" s="9"/>
      <c r="R474" s="9"/>
    </row>
    <row r="475">
      <c r="D475" s="9"/>
      <c r="H475" s="9"/>
      <c r="M475" s="9"/>
      <c r="R475" s="9"/>
    </row>
    <row r="476">
      <c r="D476" s="9"/>
      <c r="H476" s="9"/>
      <c r="M476" s="9"/>
      <c r="R476" s="9"/>
    </row>
    <row r="477">
      <c r="D477" s="9"/>
      <c r="H477" s="9"/>
      <c r="M477" s="9"/>
      <c r="R477" s="9"/>
    </row>
    <row r="478">
      <c r="D478" s="9"/>
      <c r="H478" s="9"/>
      <c r="M478" s="9"/>
      <c r="R478" s="9"/>
    </row>
    <row r="479">
      <c r="D479" s="9"/>
      <c r="H479" s="9"/>
      <c r="M479" s="9"/>
      <c r="R479" s="9"/>
    </row>
    <row r="480">
      <c r="D480" s="9"/>
      <c r="H480" s="9"/>
      <c r="M480" s="9"/>
      <c r="R480" s="9"/>
    </row>
    <row r="481">
      <c r="D481" s="9"/>
      <c r="H481" s="9"/>
      <c r="M481" s="9"/>
      <c r="R481" s="9"/>
    </row>
    <row r="482">
      <c r="D482" s="9"/>
      <c r="H482" s="9"/>
      <c r="M482" s="9"/>
      <c r="R482" s="9"/>
    </row>
    <row r="483">
      <c r="D483" s="9"/>
      <c r="H483" s="9"/>
      <c r="M483" s="9"/>
      <c r="R483" s="9"/>
    </row>
    <row r="484">
      <c r="D484" s="9"/>
      <c r="H484" s="9"/>
      <c r="M484" s="9"/>
      <c r="R484" s="9"/>
    </row>
    <row r="485">
      <c r="D485" s="9"/>
      <c r="H485" s="9"/>
      <c r="M485" s="9"/>
      <c r="R485" s="9"/>
    </row>
    <row r="486">
      <c r="D486" s="9"/>
      <c r="H486" s="9"/>
      <c r="M486" s="9"/>
      <c r="R486" s="9"/>
    </row>
    <row r="487">
      <c r="D487" s="9"/>
      <c r="H487" s="9"/>
      <c r="M487" s="9"/>
      <c r="R487" s="9"/>
    </row>
    <row r="488">
      <c r="D488" s="9"/>
      <c r="H488" s="9"/>
      <c r="M488" s="9"/>
      <c r="R488" s="9"/>
    </row>
    <row r="489">
      <c r="D489" s="9"/>
      <c r="H489" s="9"/>
      <c r="M489" s="9"/>
      <c r="R489" s="9"/>
    </row>
    <row r="490">
      <c r="D490" s="9"/>
      <c r="H490" s="9"/>
      <c r="M490" s="9"/>
      <c r="R490" s="9"/>
    </row>
    <row r="491">
      <c r="D491" s="9"/>
      <c r="H491" s="9"/>
      <c r="M491" s="9"/>
      <c r="R491" s="9"/>
    </row>
    <row r="492">
      <c r="D492" s="9"/>
      <c r="H492" s="9"/>
      <c r="M492" s="9"/>
      <c r="R492" s="9"/>
    </row>
    <row r="493">
      <c r="D493" s="9"/>
      <c r="H493" s="9"/>
      <c r="M493" s="9"/>
      <c r="R493" s="9"/>
    </row>
    <row r="494">
      <c r="D494" s="9"/>
      <c r="H494" s="9"/>
      <c r="M494" s="9"/>
      <c r="R494" s="9"/>
    </row>
    <row r="495">
      <c r="D495" s="9"/>
      <c r="H495" s="9"/>
      <c r="M495" s="9"/>
      <c r="R495" s="9"/>
    </row>
    <row r="496">
      <c r="D496" s="9"/>
      <c r="H496" s="9"/>
      <c r="M496" s="9"/>
      <c r="R496" s="9"/>
    </row>
    <row r="497">
      <c r="D497" s="9"/>
      <c r="H497" s="9"/>
      <c r="M497" s="9"/>
      <c r="R497" s="9"/>
    </row>
    <row r="498">
      <c r="D498" s="9"/>
      <c r="H498" s="9"/>
      <c r="M498" s="9"/>
      <c r="R498" s="9"/>
    </row>
    <row r="499">
      <c r="D499" s="9"/>
      <c r="H499" s="9"/>
      <c r="M499" s="9"/>
      <c r="R499" s="9"/>
    </row>
    <row r="500">
      <c r="D500" s="9"/>
      <c r="H500" s="9"/>
      <c r="M500" s="9"/>
      <c r="R500" s="9"/>
    </row>
    <row r="501">
      <c r="D501" s="9"/>
      <c r="H501" s="9"/>
      <c r="M501" s="9"/>
      <c r="R501" s="9"/>
    </row>
    <row r="502">
      <c r="D502" s="9"/>
      <c r="H502" s="9"/>
      <c r="M502" s="9"/>
      <c r="R502" s="9"/>
    </row>
    <row r="503">
      <c r="D503" s="9"/>
      <c r="H503" s="9"/>
      <c r="M503" s="9"/>
      <c r="R503" s="9"/>
    </row>
    <row r="504">
      <c r="D504" s="9"/>
      <c r="H504" s="9"/>
      <c r="M504" s="9"/>
      <c r="R504" s="9"/>
    </row>
    <row r="505">
      <c r="D505" s="9"/>
      <c r="H505" s="9"/>
      <c r="M505" s="9"/>
      <c r="R505" s="9"/>
    </row>
    <row r="506">
      <c r="D506" s="9"/>
      <c r="H506" s="9"/>
      <c r="M506" s="9"/>
      <c r="R506" s="9"/>
    </row>
    <row r="507">
      <c r="D507" s="9"/>
      <c r="H507" s="9"/>
      <c r="M507" s="9"/>
      <c r="R507" s="9"/>
    </row>
    <row r="508">
      <c r="D508" s="9"/>
      <c r="H508" s="9"/>
      <c r="M508" s="9"/>
      <c r="R508" s="9"/>
    </row>
    <row r="509">
      <c r="D509" s="9"/>
      <c r="H509" s="9"/>
      <c r="M509" s="9"/>
      <c r="R509" s="9"/>
    </row>
    <row r="510">
      <c r="D510" s="9"/>
      <c r="H510" s="9"/>
      <c r="M510" s="9"/>
      <c r="R510" s="9"/>
    </row>
    <row r="511">
      <c r="D511" s="9"/>
      <c r="H511" s="9"/>
      <c r="M511" s="9"/>
      <c r="R511" s="9"/>
    </row>
    <row r="512">
      <c r="D512" s="9"/>
      <c r="H512" s="9"/>
      <c r="M512" s="9"/>
      <c r="R512" s="9"/>
    </row>
    <row r="513">
      <c r="D513" s="9"/>
      <c r="H513" s="9"/>
      <c r="M513" s="9"/>
      <c r="R513" s="9"/>
    </row>
    <row r="514">
      <c r="D514" s="9"/>
      <c r="H514" s="9"/>
      <c r="M514" s="9"/>
      <c r="R514" s="9"/>
    </row>
    <row r="515">
      <c r="D515" s="9"/>
      <c r="H515" s="9"/>
      <c r="M515" s="9"/>
      <c r="R515" s="9"/>
    </row>
    <row r="516">
      <c r="D516" s="9"/>
      <c r="H516" s="9"/>
      <c r="M516" s="9"/>
      <c r="R516" s="9"/>
    </row>
    <row r="517">
      <c r="D517" s="9"/>
      <c r="H517" s="9"/>
      <c r="M517" s="9"/>
      <c r="R517" s="9"/>
    </row>
    <row r="518">
      <c r="D518" s="9"/>
      <c r="H518" s="9"/>
      <c r="M518" s="9"/>
      <c r="R518" s="9"/>
    </row>
    <row r="519">
      <c r="D519" s="9"/>
      <c r="H519" s="9"/>
      <c r="M519" s="9"/>
      <c r="R519" s="9"/>
    </row>
    <row r="520">
      <c r="D520" s="9"/>
      <c r="H520" s="9"/>
      <c r="M520" s="9"/>
      <c r="R520" s="9"/>
    </row>
    <row r="521">
      <c r="D521" s="9"/>
      <c r="H521" s="9"/>
      <c r="M521" s="9"/>
      <c r="R521" s="9"/>
    </row>
    <row r="522">
      <c r="D522" s="9"/>
      <c r="H522" s="9"/>
      <c r="M522" s="9"/>
      <c r="R522" s="9"/>
    </row>
    <row r="523">
      <c r="D523" s="9"/>
      <c r="H523" s="9"/>
      <c r="M523" s="9"/>
      <c r="R523" s="9"/>
    </row>
    <row r="524">
      <c r="D524" s="9"/>
      <c r="H524" s="9"/>
      <c r="M524" s="9"/>
      <c r="R524" s="9"/>
    </row>
    <row r="525">
      <c r="D525" s="9"/>
      <c r="H525" s="9"/>
      <c r="M525" s="9"/>
      <c r="R525" s="9"/>
    </row>
    <row r="526">
      <c r="D526" s="9"/>
      <c r="H526" s="9"/>
      <c r="M526" s="9"/>
      <c r="R526" s="9"/>
    </row>
    <row r="527">
      <c r="D527" s="9"/>
      <c r="H527" s="9"/>
      <c r="M527" s="9"/>
      <c r="R527" s="9"/>
    </row>
    <row r="528">
      <c r="D528" s="9"/>
      <c r="H528" s="9"/>
      <c r="M528" s="9"/>
      <c r="R528" s="9"/>
    </row>
    <row r="529">
      <c r="D529" s="9"/>
      <c r="H529" s="9"/>
      <c r="M529" s="9"/>
      <c r="R529" s="9"/>
    </row>
    <row r="530">
      <c r="D530" s="9"/>
      <c r="H530" s="9"/>
      <c r="M530" s="9"/>
      <c r="R530" s="9"/>
    </row>
    <row r="531">
      <c r="D531" s="9"/>
      <c r="H531" s="9"/>
      <c r="M531" s="9"/>
      <c r="R531" s="9"/>
    </row>
    <row r="532">
      <c r="D532" s="9"/>
      <c r="H532" s="9"/>
      <c r="M532" s="9"/>
      <c r="R532" s="9"/>
    </row>
    <row r="533">
      <c r="D533" s="9"/>
      <c r="H533" s="9"/>
      <c r="M533" s="9"/>
      <c r="R533" s="9"/>
    </row>
    <row r="534">
      <c r="D534" s="9"/>
      <c r="H534" s="9"/>
      <c r="M534" s="9"/>
      <c r="R534" s="9"/>
    </row>
    <row r="535">
      <c r="D535" s="9"/>
      <c r="H535" s="9"/>
      <c r="M535" s="9"/>
      <c r="R535" s="9"/>
    </row>
    <row r="536">
      <c r="D536" s="9"/>
      <c r="H536" s="9"/>
      <c r="M536" s="9"/>
      <c r="R536" s="9"/>
    </row>
    <row r="537">
      <c r="D537" s="9"/>
      <c r="H537" s="9"/>
      <c r="M537" s="9"/>
      <c r="R537" s="9"/>
    </row>
    <row r="538">
      <c r="D538" s="9"/>
      <c r="H538" s="9"/>
      <c r="M538" s="9"/>
      <c r="R538" s="9"/>
    </row>
    <row r="539">
      <c r="D539" s="9"/>
      <c r="H539" s="9"/>
      <c r="M539" s="9"/>
      <c r="R539" s="9"/>
    </row>
    <row r="540">
      <c r="D540" s="9"/>
      <c r="H540" s="9"/>
      <c r="M540" s="9"/>
      <c r="R540" s="9"/>
    </row>
    <row r="541">
      <c r="D541" s="9"/>
      <c r="H541" s="9"/>
      <c r="M541" s="9"/>
      <c r="R541" s="9"/>
    </row>
    <row r="542">
      <c r="D542" s="9"/>
      <c r="H542" s="9"/>
      <c r="M542" s="9"/>
      <c r="R542" s="9"/>
    </row>
    <row r="543">
      <c r="D543" s="9"/>
      <c r="H543" s="9"/>
      <c r="M543" s="9"/>
      <c r="R543" s="9"/>
    </row>
    <row r="544">
      <c r="D544" s="9"/>
      <c r="H544" s="9"/>
      <c r="M544" s="9"/>
      <c r="R544" s="9"/>
    </row>
    <row r="545">
      <c r="D545" s="9"/>
      <c r="H545" s="9"/>
      <c r="M545" s="9"/>
      <c r="R545" s="9"/>
    </row>
    <row r="546">
      <c r="D546" s="9"/>
      <c r="H546" s="9"/>
      <c r="M546" s="9"/>
      <c r="R546" s="9"/>
    </row>
    <row r="547">
      <c r="D547" s="9"/>
      <c r="H547" s="9"/>
      <c r="M547" s="9"/>
      <c r="R547" s="9"/>
    </row>
    <row r="548">
      <c r="D548" s="9"/>
      <c r="H548" s="9"/>
      <c r="M548" s="9"/>
      <c r="R548" s="9"/>
    </row>
    <row r="549">
      <c r="D549" s="9"/>
      <c r="H549" s="9"/>
      <c r="M549" s="9"/>
      <c r="R549" s="9"/>
    </row>
    <row r="550">
      <c r="D550" s="9"/>
      <c r="H550" s="9"/>
      <c r="M550" s="9"/>
      <c r="R550" s="9"/>
    </row>
    <row r="551">
      <c r="D551" s="9"/>
      <c r="H551" s="9"/>
      <c r="M551" s="9"/>
      <c r="R551" s="9"/>
    </row>
    <row r="552">
      <c r="D552" s="9"/>
      <c r="H552" s="9"/>
      <c r="M552" s="9"/>
      <c r="R552" s="9"/>
    </row>
    <row r="553">
      <c r="D553" s="9"/>
      <c r="H553" s="9"/>
      <c r="M553" s="9"/>
      <c r="R553" s="9"/>
    </row>
    <row r="554">
      <c r="D554" s="9"/>
      <c r="H554" s="9"/>
      <c r="M554" s="9"/>
      <c r="R554" s="9"/>
    </row>
    <row r="555">
      <c r="D555" s="9"/>
      <c r="H555" s="9"/>
      <c r="M555" s="9"/>
      <c r="R555" s="9"/>
    </row>
    <row r="556">
      <c r="D556" s="9"/>
      <c r="H556" s="9"/>
      <c r="M556" s="9"/>
      <c r="R556" s="9"/>
    </row>
    <row r="557">
      <c r="D557" s="9"/>
      <c r="H557" s="9"/>
      <c r="M557" s="9"/>
      <c r="R557" s="9"/>
    </row>
    <row r="558">
      <c r="D558" s="9"/>
      <c r="H558" s="9"/>
      <c r="M558" s="9"/>
      <c r="R558" s="9"/>
    </row>
    <row r="559">
      <c r="D559" s="9"/>
      <c r="H559" s="9"/>
      <c r="M559" s="9"/>
      <c r="R559" s="9"/>
    </row>
    <row r="560">
      <c r="D560" s="9"/>
      <c r="H560" s="9"/>
      <c r="M560" s="9"/>
      <c r="R560" s="9"/>
    </row>
    <row r="561">
      <c r="D561" s="9"/>
      <c r="H561" s="9"/>
      <c r="M561" s="9"/>
      <c r="R561" s="9"/>
    </row>
    <row r="562">
      <c r="D562" s="9"/>
      <c r="H562" s="9"/>
      <c r="M562" s="9"/>
      <c r="R562" s="9"/>
    </row>
    <row r="563">
      <c r="D563" s="9"/>
      <c r="H563" s="9"/>
      <c r="M563" s="9"/>
      <c r="R563" s="9"/>
    </row>
    <row r="564">
      <c r="D564" s="9"/>
      <c r="H564" s="9"/>
      <c r="M564" s="9"/>
      <c r="R564" s="9"/>
    </row>
    <row r="565">
      <c r="D565" s="9"/>
      <c r="H565" s="9"/>
      <c r="M565" s="9"/>
      <c r="R565" s="9"/>
    </row>
    <row r="566">
      <c r="D566" s="9"/>
      <c r="H566" s="9"/>
      <c r="M566" s="9"/>
      <c r="R566" s="9"/>
    </row>
    <row r="567">
      <c r="D567" s="9"/>
      <c r="H567" s="9"/>
      <c r="M567" s="9"/>
      <c r="R567" s="9"/>
    </row>
    <row r="568">
      <c r="D568" s="9"/>
      <c r="H568" s="9"/>
      <c r="M568" s="9"/>
      <c r="R568" s="9"/>
    </row>
    <row r="569">
      <c r="D569" s="9"/>
      <c r="H569" s="9"/>
      <c r="M569" s="9"/>
      <c r="R569" s="9"/>
    </row>
    <row r="570">
      <c r="D570" s="9"/>
      <c r="H570" s="9"/>
      <c r="M570" s="9"/>
      <c r="R570" s="9"/>
    </row>
    <row r="571">
      <c r="D571" s="9"/>
      <c r="H571" s="9"/>
      <c r="M571" s="9"/>
      <c r="R571" s="9"/>
    </row>
    <row r="572">
      <c r="D572" s="9"/>
      <c r="H572" s="9"/>
      <c r="M572" s="9"/>
      <c r="R572" s="9"/>
    </row>
    <row r="573">
      <c r="D573" s="9"/>
      <c r="H573" s="9"/>
      <c r="M573" s="9"/>
      <c r="R573" s="9"/>
    </row>
    <row r="574">
      <c r="D574" s="9"/>
      <c r="H574" s="9"/>
      <c r="M574" s="9"/>
      <c r="R574" s="9"/>
    </row>
    <row r="575">
      <c r="D575" s="9"/>
      <c r="H575" s="9"/>
      <c r="M575" s="9"/>
      <c r="R575" s="9"/>
    </row>
    <row r="576">
      <c r="D576" s="9"/>
      <c r="H576" s="9"/>
      <c r="M576" s="9"/>
      <c r="R576" s="9"/>
    </row>
    <row r="577">
      <c r="D577" s="9"/>
      <c r="H577" s="9"/>
      <c r="M577" s="9"/>
      <c r="R577" s="9"/>
    </row>
    <row r="578">
      <c r="D578" s="9"/>
      <c r="H578" s="9"/>
      <c r="M578" s="9"/>
      <c r="R578" s="9"/>
    </row>
    <row r="579">
      <c r="D579" s="9"/>
      <c r="H579" s="9"/>
      <c r="M579" s="9"/>
      <c r="R579" s="9"/>
    </row>
    <row r="580">
      <c r="D580" s="9"/>
      <c r="H580" s="9"/>
      <c r="M580" s="9"/>
      <c r="R580" s="9"/>
    </row>
    <row r="581">
      <c r="D581" s="9"/>
      <c r="H581" s="9"/>
      <c r="M581" s="9"/>
      <c r="R581" s="9"/>
    </row>
    <row r="582">
      <c r="D582" s="9"/>
      <c r="H582" s="9"/>
      <c r="M582" s="9"/>
      <c r="R582" s="9"/>
    </row>
    <row r="583">
      <c r="D583" s="9"/>
      <c r="H583" s="9"/>
      <c r="M583" s="9"/>
      <c r="R583" s="9"/>
    </row>
    <row r="584">
      <c r="D584" s="9"/>
      <c r="H584" s="9"/>
      <c r="M584" s="9"/>
      <c r="R584" s="9"/>
    </row>
    <row r="585">
      <c r="D585" s="9"/>
      <c r="H585" s="9"/>
      <c r="M585" s="9"/>
      <c r="R585" s="9"/>
    </row>
    <row r="586">
      <c r="D586" s="9"/>
      <c r="H586" s="9"/>
      <c r="M586" s="9"/>
      <c r="R586" s="9"/>
    </row>
    <row r="587">
      <c r="D587" s="9"/>
      <c r="H587" s="9"/>
      <c r="M587" s="9"/>
      <c r="R587" s="9"/>
    </row>
    <row r="588">
      <c r="D588" s="9"/>
      <c r="H588" s="9"/>
      <c r="M588" s="9"/>
      <c r="R588" s="9"/>
    </row>
    <row r="589">
      <c r="D589" s="9"/>
      <c r="H589" s="9"/>
      <c r="M589" s="9"/>
      <c r="R589" s="9"/>
    </row>
    <row r="590">
      <c r="D590" s="9"/>
      <c r="H590" s="9"/>
      <c r="M590" s="9"/>
      <c r="R590" s="9"/>
    </row>
    <row r="591">
      <c r="D591" s="9"/>
      <c r="H591" s="9"/>
      <c r="M591" s="9"/>
      <c r="R591" s="9"/>
    </row>
    <row r="592">
      <c r="D592" s="9"/>
      <c r="H592" s="9"/>
      <c r="M592" s="9"/>
      <c r="R592" s="9"/>
    </row>
    <row r="593">
      <c r="D593" s="9"/>
      <c r="H593" s="9"/>
      <c r="M593" s="9"/>
      <c r="R593" s="9"/>
    </row>
    <row r="594">
      <c r="D594" s="9"/>
      <c r="H594" s="9"/>
      <c r="M594" s="9"/>
      <c r="R594" s="9"/>
    </row>
    <row r="595">
      <c r="D595" s="9"/>
      <c r="H595" s="9"/>
      <c r="M595" s="9"/>
      <c r="R595" s="9"/>
    </row>
    <row r="596">
      <c r="D596" s="9"/>
      <c r="H596" s="9"/>
      <c r="M596" s="9"/>
      <c r="R596" s="9"/>
    </row>
    <row r="597">
      <c r="D597" s="9"/>
      <c r="H597" s="9"/>
      <c r="M597" s="9"/>
      <c r="R597" s="9"/>
    </row>
    <row r="598">
      <c r="D598" s="9"/>
      <c r="H598" s="9"/>
      <c r="M598" s="9"/>
      <c r="R598" s="9"/>
    </row>
    <row r="599">
      <c r="D599" s="9"/>
      <c r="H599" s="9"/>
      <c r="M599" s="9"/>
      <c r="R599" s="9"/>
    </row>
    <row r="600">
      <c r="D600" s="9"/>
      <c r="H600" s="9"/>
      <c r="M600" s="9"/>
      <c r="R600" s="9"/>
    </row>
    <row r="601">
      <c r="D601" s="9"/>
      <c r="H601" s="9"/>
      <c r="M601" s="9"/>
      <c r="R601" s="9"/>
    </row>
    <row r="602">
      <c r="D602" s="9"/>
      <c r="H602" s="9"/>
      <c r="M602" s="9"/>
      <c r="R602" s="9"/>
    </row>
    <row r="603">
      <c r="D603" s="9"/>
      <c r="H603" s="9"/>
      <c r="M603" s="9"/>
      <c r="R603" s="9"/>
    </row>
    <row r="604">
      <c r="D604" s="9"/>
      <c r="H604" s="9"/>
      <c r="M604" s="9"/>
      <c r="R604" s="9"/>
    </row>
    <row r="605">
      <c r="D605" s="9"/>
      <c r="H605" s="9"/>
      <c r="M605" s="9"/>
      <c r="R605" s="9"/>
    </row>
    <row r="606">
      <c r="D606" s="9"/>
      <c r="H606" s="9"/>
      <c r="M606" s="9"/>
      <c r="R606" s="9"/>
    </row>
    <row r="607">
      <c r="D607" s="9"/>
      <c r="H607" s="9"/>
      <c r="M607" s="9"/>
      <c r="R607" s="9"/>
    </row>
    <row r="608">
      <c r="D608" s="9"/>
      <c r="H608" s="9"/>
      <c r="M608" s="9"/>
      <c r="R608" s="9"/>
    </row>
    <row r="609">
      <c r="D609" s="9"/>
      <c r="H609" s="9"/>
      <c r="M609" s="9"/>
      <c r="R609" s="9"/>
    </row>
    <row r="610">
      <c r="D610" s="9"/>
      <c r="H610" s="9"/>
      <c r="M610" s="9"/>
      <c r="R610" s="9"/>
    </row>
    <row r="611">
      <c r="D611" s="9"/>
      <c r="H611" s="9"/>
      <c r="M611" s="9"/>
      <c r="R611" s="9"/>
    </row>
    <row r="612">
      <c r="D612" s="9"/>
      <c r="H612" s="9"/>
      <c r="M612" s="9"/>
      <c r="R612" s="9"/>
    </row>
    <row r="613">
      <c r="D613" s="9"/>
      <c r="H613" s="9"/>
      <c r="M613" s="9"/>
      <c r="R613" s="9"/>
    </row>
    <row r="614">
      <c r="D614" s="9"/>
      <c r="H614" s="9"/>
      <c r="M614" s="9"/>
      <c r="R614" s="9"/>
    </row>
    <row r="615">
      <c r="D615" s="9"/>
      <c r="H615" s="9"/>
      <c r="M615" s="9"/>
      <c r="R615" s="9"/>
    </row>
    <row r="616">
      <c r="D616" s="9"/>
      <c r="H616" s="9"/>
      <c r="M616" s="9"/>
      <c r="R616" s="9"/>
    </row>
    <row r="617">
      <c r="D617" s="9"/>
      <c r="H617" s="9"/>
      <c r="M617" s="9"/>
      <c r="R617" s="9"/>
    </row>
    <row r="618">
      <c r="D618" s="9"/>
      <c r="H618" s="9"/>
      <c r="M618" s="9"/>
      <c r="R618" s="9"/>
    </row>
    <row r="619">
      <c r="D619" s="9"/>
      <c r="H619" s="9"/>
      <c r="M619" s="9"/>
      <c r="R619" s="9"/>
    </row>
    <row r="620">
      <c r="D620" s="9"/>
      <c r="H620" s="9"/>
      <c r="M620" s="9"/>
      <c r="R620" s="9"/>
    </row>
    <row r="621">
      <c r="D621" s="9"/>
      <c r="H621" s="9"/>
      <c r="M621" s="9"/>
      <c r="R621" s="9"/>
    </row>
    <row r="622">
      <c r="D622" s="9"/>
      <c r="H622" s="9"/>
      <c r="M622" s="9"/>
      <c r="R622" s="9"/>
    </row>
    <row r="623">
      <c r="D623" s="9"/>
      <c r="H623" s="9"/>
      <c r="M623" s="9"/>
      <c r="R623" s="9"/>
    </row>
    <row r="624">
      <c r="D624" s="9"/>
      <c r="H624" s="9"/>
      <c r="M624" s="9"/>
      <c r="R624" s="9"/>
    </row>
    <row r="625">
      <c r="D625" s="9"/>
      <c r="H625" s="9"/>
      <c r="M625" s="9"/>
      <c r="R625" s="9"/>
    </row>
    <row r="626">
      <c r="D626" s="9"/>
      <c r="H626" s="9"/>
      <c r="M626" s="9"/>
      <c r="R626" s="9"/>
    </row>
    <row r="627">
      <c r="D627" s="9"/>
      <c r="H627" s="9"/>
      <c r="M627" s="9"/>
      <c r="R627" s="9"/>
    </row>
    <row r="628">
      <c r="D628" s="9"/>
      <c r="H628" s="9"/>
      <c r="M628" s="9"/>
      <c r="R628" s="9"/>
    </row>
    <row r="629">
      <c r="D629" s="9"/>
      <c r="H629" s="9"/>
      <c r="M629" s="9"/>
      <c r="R629" s="9"/>
    </row>
    <row r="630">
      <c r="D630" s="9"/>
      <c r="H630" s="9"/>
      <c r="M630" s="9"/>
      <c r="R630" s="9"/>
    </row>
    <row r="631">
      <c r="D631" s="9"/>
      <c r="H631" s="9"/>
      <c r="M631" s="9"/>
      <c r="R631" s="9"/>
    </row>
    <row r="632">
      <c r="D632" s="9"/>
      <c r="H632" s="9"/>
      <c r="M632" s="9"/>
      <c r="R632" s="9"/>
    </row>
    <row r="633">
      <c r="D633" s="9"/>
      <c r="H633" s="9"/>
      <c r="M633" s="9"/>
      <c r="R633" s="9"/>
    </row>
    <row r="634">
      <c r="D634" s="9"/>
      <c r="H634" s="9"/>
      <c r="M634" s="9"/>
      <c r="R634" s="9"/>
    </row>
    <row r="635">
      <c r="D635" s="9"/>
      <c r="H635" s="9"/>
      <c r="M635" s="9"/>
      <c r="R635" s="9"/>
    </row>
    <row r="636">
      <c r="D636" s="9"/>
      <c r="H636" s="9"/>
      <c r="M636" s="9"/>
      <c r="R636" s="9"/>
    </row>
    <row r="637">
      <c r="D637" s="9"/>
      <c r="H637" s="9"/>
      <c r="M637" s="9"/>
      <c r="R637" s="9"/>
    </row>
    <row r="638">
      <c r="D638" s="9"/>
      <c r="H638" s="9"/>
      <c r="M638" s="9"/>
      <c r="R638" s="9"/>
    </row>
    <row r="639">
      <c r="D639" s="9"/>
      <c r="H639" s="9"/>
      <c r="M639" s="9"/>
      <c r="R639" s="9"/>
    </row>
    <row r="640">
      <c r="D640" s="9"/>
      <c r="H640" s="9"/>
      <c r="M640" s="9"/>
      <c r="R640" s="9"/>
    </row>
    <row r="641">
      <c r="D641" s="9"/>
      <c r="H641" s="9"/>
      <c r="M641" s="9"/>
      <c r="R641" s="9"/>
    </row>
    <row r="642">
      <c r="D642" s="9"/>
      <c r="H642" s="9"/>
      <c r="M642" s="9"/>
      <c r="R642" s="9"/>
    </row>
    <row r="643">
      <c r="D643" s="9"/>
      <c r="H643" s="9"/>
      <c r="M643" s="9"/>
      <c r="R643" s="9"/>
    </row>
    <row r="644">
      <c r="D644" s="9"/>
      <c r="H644" s="9"/>
      <c r="M644" s="9"/>
      <c r="R644" s="9"/>
    </row>
    <row r="645">
      <c r="D645" s="9"/>
      <c r="H645" s="9"/>
      <c r="M645" s="9"/>
      <c r="R645" s="9"/>
    </row>
    <row r="646">
      <c r="D646" s="9"/>
      <c r="H646" s="9"/>
      <c r="M646" s="9"/>
      <c r="R646" s="9"/>
    </row>
    <row r="647">
      <c r="D647" s="9"/>
      <c r="H647" s="9"/>
      <c r="M647" s="9"/>
      <c r="R647" s="9"/>
    </row>
    <row r="648">
      <c r="D648" s="9"/>
      <c r="H648" s="9"/>
      <c r="M648" s="9"/>
      <c r="R648" s="9"/>
    </row>
    <row r="649">
      <c r="D649" s="9"/>
      <c r="H649" s="9"/>
      <c r="M649" s="9"/>
      <c r="R649" s="9"/>
    </row>
    <row r="650">
      <c r="D650" s="9"/>
      <c r="H650" s="9"/>
      <c r="M650" s="9"/>
      <c r="R650" s="9"/>
    </row>
    <row r="651">
      <c r="D651" s="9"/>
      <c r="H651" s="9"/>
      <c r="M651" s="9"/>
      <c r="R651" s="9"/>
    </row>
    <row r="652">
      <c r="D652" s="9"/>
      <c r="H652" s="9"/>
      <c r="M652" s="9"/>
      <c r="R652" s="9"/>
    </row>
    <row r="653">
      <c r="D653" s="9"/>
      <c r="H653" s="9"/>
      <c r="M653" s="9"/>
      <c r="R653" s="9"/>
    </row>
    <row r="654">
      <c r="D654" s="9"/>
      <c r="H654" s="9"/>
      <c r="M654" s="9"/>
      <c r="R654" s="9"/>
    </row>
    <row r="655">
      <c r="D655" s="9"/>
      <c r="H655" s="9"/>
      <c r="M655" s="9"/>
      <c r="R655" s="9"/>
    </row>
    <row r="656">
      <c r="D656" s="9"/>
      <c r="H656" s="9"/>
      <c r="M656" s="9"/>
      <c r="R656" s="9"/>
    </row>
    <row r="657">
      <c r="D657" s="9"/>
      <c r="H657" s="9"/>
      <c r="M657" s="9"/>
      <c r="R657" s="9"/>
    </row>
    <row r="658">
      <c r="D658" s="9"/>
      <c r="H658" s="9"/>
      <c r="M658" s="9"/>
      <c r="R658" s="9"/>
    </row>
    <row r="659">
      <c r="D659" s="9"/>
      <c r="H659" s="9"/>
      <c r="M659" s="9"/>
      <c r="R659" s="9"/>
    </row>
    <row r="660">
      <c r="D660" s="9"/>
      <c r="H660" s="9"/>
      <c r="M660" s="9"/>
      <c r="R660" s="9"/>
    </row>
    <row r="661">
      <c r="D661" s="9"/>
      <c r="H661" s="9"/>
      <c r="M661" s="9"/>
      <c r="R661" s="9"/>
    </row>
    <row r="662">
      <c r="D662" s="9"/>
      <c r="H662" s="9"/>
      <c r="M662" s="9"/>
      <c r="R662" s="9"/>
    </row>
    <row r="663">
      <c r="D663" s="9"/>
      <c r="H663" s="9"/>
      <c r="M663" s="9"/>
      <c r="R663" s="9"/>
    </row>
    <row r="664">
      <c r="D664" s="9"/>
      <c r="H664" s="9"/>
      <c r="M664" s="9"/>
      <c r="R664" s="9"/>
    </row>
    <row r="665">
      <c r="D665" s="9"/>
      <c r="H665" s="9"/>
      <c r="M665" s="9"/>
      <c r="R665" s="9"/>
    </row>
    <row r="666">
      <c r="D666" s="9"/>
      <c r="H666" s="9"/>
      <c r="M666" s="9"/>
      <c r="R666" s="9"/>
    </row>
    <row r="667">
      <c r="D667" s="9"/>
      <c r="H667" s="9"/>
      <c r="M667" s="9"/>
      <c r="R667" s="9"/>
    </row>
    <row r="668">
      <c r="D668" s="9"/>
      <c r="H668" s="9"/>
      <c r="M668" s="9"/>
      <c r="R668" s="9"/>
    </row>
    <row r="669">
      <c r="D669" s="9"/>
      <c r="H669" s="9"/>
      <c r="M669" s="9"/>
      <c r="R669" s="9"/>
    </row>
    <row r="670">
      <c r="D670" s="9"/>
      <c r="H670" s="9"/>
      <c r="M670" s="9"/>
      <c r="R670" s="9"/>
    </row>
    <row r="671">
      <c r="D671" s="9"/>
      <c r="H671" s="9"/>
      <c r="M671" s="9"/>
      <c r="R671" s="9"/>
    </row>
    <row r="672">
      <c r="D672" s="9"/>
      <c r="H672" s="9"/>
      <c r="M672" s="9"/>
      <c r="R672" s="9"/>
    </row>
    <row r="673">
      <c r="D673" s="9"/>
      <c r="H673" s="9"/>
      <c r="M673" s="9"/>
      <c r="R673" s="9"/>
    </row>
    <row r="674">
      <c r="D674" s="9"/>
      <c r="H674" s="9"/>
      <c r="M674" s="9"/>
      <c r="R674" s="9"/>
    </row>
    <row r="675">
      <c r="D675" s="9"/>
      <c r="H675" s="9"/>
      <c r="M675" s="9"/>
      <c r="R675" s="9"/>
    </row>
    <row r="676">
      <c r="D676" s="9"/>
      <c r="H676" s="9"/>
      <c r="M676" s="9"/>
      <c r="R676" s="9"/>
    </row>
    <row r="677">
      <c r="D677" s="9"/>
      <c r="H677" s="9"/>
      <c r="M677" s="9"/>
      <c r="R677" s="9"/>
    </row>
    <row r="678">
      <c r="D678" s="9"/>
      <c r="H678" s="9"/>
      <c r="M678" s="9"/>
      <c r="R678" s="9"/>
    </row>
    <row r="679">
      <c r="D679" s="9"/>
      <c r="H679" s="9"/>
      <c r="M679" s="9"/>
      <c r="R679" s="9"/>
    </row>
    <row r="680">
      <c r="D680" s="9"/>
      <c r="H680" s="9"/>
      <c r="M680" s="9"/>
      <c r="R680" s="9"/>
    </row>
    <row r="681">
      <c r="D681" s="9"/>
      <c r="H681" s="9"/>
      <c r="M681" s="9"/>
      <c r="R681" s="9"/>
    </row>
    <row r="682">
      <c r="D682" s="9"/>
      <c r="H682" s="9"/>
      <c r="M682" s="9"/>
      <c r="R682" s="9"/>
    </row>
    <row r="683">
      <c r="D683" s="9"/>
      <c r="H683" s="9"/>
      <c r="M683" s="9"/>
      <c r="R683" s="9"/>
    </row>
    <row r="684">
      <c r="D684" s="9"/>
      <c r="H684" s="9"/>
      <c r="M684" s="9"/>
      <c r="R684" s="9"/>
    </row>
    <row r="685">
      <c r="D685" s="9"/>
      <c r="H685" s="9"/>
      <c r="M685" s="9"/>
      <c r="R685" s="9"/>
    </row>
    <row r="686">
      <c r="D686" s="9"/>
      <c r="H686" s="9"/>
      <c r="M686" s="9"/>
      <c r="R686" s="9"/>
    </row>
    <row r="687">
      <c r="D687" s="9"/>
      <c r="H687" s="9"/>
      <c r="M687" s="9"/>
      <c r="R687" s="9"/>
    </row>
    <row r="688">
      <c r="D688" s="9"/>
      <c r="H688" s="9"/>
      <c r="M688" s="9"/>
      <c r="R688" s="9"/>
    </row>
    <row r="689">
      <c r="D689" s="9"/>
      <c r="H689" s="9"/>
      <c r="M689" s="9"/>
      <c r="R689" s="9"/>
    </row>
    <row r="690">
      <c r="D690" s="9"/>
      <c r="H690" s="9"/>
      <c r="M690" s="9"/>
      <c r="R690" s="9"/>
    </row>
    <row r="691">
      <c r="D691" s="9"/>
      <c r="H691" s="9"/>
      <c r="M691" s="9"/>
      <c r="R691" s="9"/>
    </row>
    <row r="692">
      <c r="D692" s="9"/>
      <c r="H692" s="9"/>
      <c r="M692" s="9"/>
      <c r="R692" s="9"/>
    </row>
    <row r="693">
      <c r="D693" s="9"/>
      <c r="H693" s="9"/>
      <c r="M693" s="9"/>
      <c r="R693" s="9"/>
    </row>
    <row r="694">
      <c r="D694" s="9"/>
      <c r="H694" s="9"/>
      <c r="M694" s="9"/>
      <c r="R694" s="9"/>
    </row>
    <row r="695">
      <c r="D695" s="9"/>
      <c r="H695" s="9"/>
      <c r="M695" s="9"/>
      <c r="R695" s="9"/>
    </row>
    <row r="696">
      <c r="D696" s="9"/>
      <c r="H696" s="9"/>
      <c r="M696" s="9"/>
      <c r="R696" s="9"/>
    </row>
    <row r="697">
      <c r="D697" s="9"/>
      <c r="H697" s="9"/>
      <c r="M697" s="9"/>
      <c r="R697" s="9"/>
    </row>
    <row r="698">
      <c r="D698" s="9"/>
      <c r="H698" s="9"/>
      <c r="M698" s="9"/>
      <c r="R698" s="9"/>
    </row>
    <row r="699">
      <c r="D699" s="9"/>
      <c r="H699" s="9"/>
      <c r="M699" s="9"/>
      <c r="R699" s="9"/>
    </row>
    <row r="700">
      <c r="D700" s="9"/>
      <c r="H700" s="9"/>
      <c r="M700" s="9"/>
      <c r="R700" s="9"/>
    </row>
    <row r="701">
      <c r="D701" s="9"/>
      <c r="H701" s="9"/>
      <c r="M701" s="9"/>
      <c r="R701" s="9"/>
    </row>
    <row r="702">
      <c r="D702" s="9"/>
      <c r="H702" s="9"/>
      <c r="M702" s="9"/>
      <c r="R702" s="9"/>
    </row>
    <row r="703">
      <c r="D703" s="9"/>
      <c r="H703" s="9"/>
      <c r="M703" s="9"/>
      <c r="R703" s="9"/>
    </row>
    <row r="704">
      <c r="D704" s="9"/>
      <c r="H704" s="9"/>
      <c r="M704" s="9"/>
      <c r="R704" s="9"/>
    </row>
    <row r="705">
      <c r="D705" s="9"/>
      <c r="H705" s="9"/>
      <c r="M705" s="9"/>
      <c r="R705" s="9"/>
    </row>
    <row r="706">
      <c r="D706" s="9"/>
      <c r="H706" s="9"/>
      <c r="M706" s="9"/>
      <c r="R706" s="9"/>
    </row>
    <row r="707">
      <c r="D707" s="9"/>
      <c r="H707" s="9"/>
      <c r="M707" s="9"/>
      <c r="R707" s="9"/>
    </row>
    <row r="708">
      <c r="D708" s="9"/>
      <c r="H708" s="9"/>
      <c r="M708" s="9"/>
      <c r="R708" s="9"/>
    </row>
    <row r="709">
      <c r="D709" s="9"/>
      <c r="H709" s="9"/>
      <c r="M709" s="9"/>
      <c r="R709" s="9"/>
    </row>
    <row r="710">
      <c r="D710" s="9"/>
      <c r="H710" s="9"/>
      <c r="M710" s="9"/>
      <c r="R710" s="9"/>
    </row>
    <row r="711">
      <c r="D711" s="9"/>
      <c r="H711" s="9"/>
      <c r="M711" s="9"/>
      <c r="R711" s="9"/>
    </row>
    <row r="712">
      <c r="D712" s="9"/>
      <c r="H712" s="9"/>
      <c r="M712" s="9"/>
      <c r="R712" s="9"/>
    </row>
    <row r="713">
      <c r="D713" s="9"/>
      <c r="H713" s="9"/>
      <c r="M713" s="9"/>
      <c r="R713" s="9"/>
    </row>
    <row r="714">
      <c r="D714" s="9"/>
      <c r="H714" s="9"/>
      <c r="M714" s="9"/>
      <c r="R714" s="9"/>
    </row>
    <row r="715">
      <c r="D715" s="9"/>
      <c r="H715" s="9"/>
      <c r="M715" s="9"/>
      <c r="R715" s="9"/>
    </row>
    <row r="716">
      <c r="D716" s="9"/>
      <c r="H716" s="9"/>
      <c r="M716" s="9"/>
      <c r="R716" s="9"/>
    </row>
    <row r="717">
      <c r="D717" s="9"/>
      <c r="H717" s="9"/>
      <c r="M717" s="9"/>
      <c r="R717" s="9"/>
    </row>
    <row r="718">
      <c r="D718" s="9"/>
      <c r="H718" s="9"/>
      <c r="M718" s="9"/>
      <c r="R718" s="9"/>
    </row>
    <row r="719">
      <c r="D719" s="9"/>
      <c r="H719" s="9"/>
      <c r="M719" s="9"/>
      <c r="R719" s="9"/>
    </row>
    <row r="720">
      <c r="D720" s="9"/>
      <c r="H720" s="9"/>
      <c r="M720" s="9"/>
      <c r="R720" s="9"/>
    </row>
    <row r="721">
      <c r="D721" s="9"/>
      <c r="H721" s="9"/>
      <c r="M721" s="9"/>
      <c r="R721" s="9"/>
    </row>
    <row r="722">
      <c r="D722" s="9"/>
      <c r="H722" s="9"/>
      <c r="M722" s="9"/>
      <c r="R722" s="9"/>
    </row>
    <row r="723">
      <c r="D723" s="9"/>
      <c r="H723" s="9"/>
      <c r="M723" s="9"/>
      <c r="R723" s="9"/>
    </row>
    <row r="724">
      <c r="D724" s="9"/>
      <c r="H724" s="9"/>
      <c r="M724" s="9"/>
      <c r="R724" s="9"/>
    </row>
    <row r="725">
      <c r="D725" s="9"/>
      <c r="H725" s="9"/>
      <c r="M725" s="9"/>
      <c r="R725" s="9"/>
    </row>
    <row r="726">
      <c r="D726" s="9"/>
      <c r="H726" s="9"/>
      <c r="M726" s="9"/>
      <c r="R726" s="9"/>
    </row>
    <row r="727">
      <c r="D727" s="9"/>
      <c r="H727" s="9"/>
      <c r="M727" s="9"/>
      <c r="R727" s="9"/>
    </row>
    <row r="728">
      <c r="D728" s="9"/>
      <c r="H728" s="9"/>
      <c r="M728" s="9"/>
      <c r="R728" s="9"/>
    </row>
    <row r="729">
      <c r="D729" s="9"/>
      <c r="H729" s="9"/>
      <c r="M729" s="9"/>
      <c r="R729" s="9"/>
    </row>
    <row r="730">
      <c r="D730" s="9"/>
      <c r="H730" s="9"/>
      <c r="M730" s="9"/>
      <c r="R730" s="9"/>
    </row>
    <row r="731">
      <c r="D731" s="9"/>
      <c r="H731" s="9"/>
      <c r="M731" s="9"/>
      <c r="R731" s="9"/>
    </row>
    <row r="732">
      <c r="D732" s="9"/>
      <c r="H732" s="9"/>
      <c r="M732" s="9"/>
      <c r="R732" s="9"/>
    </row>
    <row r="733">
      <c r="D733" s="9"/>
      <c r="H733" s="9"/>
      <c r="M733" s="9"/>
      <c r="R733" s="9"/>
    </row>
    <row r="734">
      <c r="D734" s="9"/>
      <c r="H734" s="9"/>
      <c r="M734" s="9"/>
      <c r="R734" s="9"/>
    </row>
    <row r="735">
      <c r="D735" s="9"/>
      <c r="H735" s="9"/>
      <c r="M735" s="9"/>
      <c r="R735" s="9"/>
    </row>
    <row r="736">
      <c r="D736" s="9"/>
      <c r="H736" s="9"/>
      <c r="M736" s="9"/>
      <c r="R736" s="9"/>
    </row>
    <row r="737">
      <c r="D737" s="9"/>
      <c r="H737" s="9"/>
      <c r="M737" s="9"/>
      <c r="R737" s="9"/>
    </row>
    <row r="738">
      <c r="D738" s="9"/>
      <c r="H738" s="9"/>
      <c r="M738" s="9"/>
      <c r="R738" s="9"/>
    </row>
    <row r="739">
      <c r="D739" s="9"/>
      <c r="H739" s="9"/>
      <c r="M739" s="9"/>
      <c r="R739" s="9"/>
    </row>
    <row r="740">
      <c r="D740" s="9"/>
      <c r="H740" s="9"/>
      <c r="M740" s="9"/>
      <c r="R740" s="9"/>
    </row>
    <row r="741">
      <c r="D741" s="9"/>
      <c r="H741" s="9"/>
      <c r="M741" s="9"/>
      <c r="R741" s="9"/>
    </row>
    <row r="742">
      <c r="D742" s="9"/>
      <c r="H742" s="9"/>
      <c r="M742" s="9"/>
      <c r="R742" s="9"/>
    </row>
    <row r="743">
      <c r="D743" s="9"/>
      <c r="H743" s="9"/>
      <c r="M743" s="9"/>
      <c r="R743" s="9"/>
    </row>
    <row r="744">
      <c r="D744" s="9"/>
      <c r="H744" s="9"/>
      <c r="M744" s="9"/>
      <c r="R744" s="9"/>
    </row>
    <row r="745">
      <c r="D745" s="9"/>
      <c r="H745" s="9"/>
      <c r="M745" s="9"/>
      <c r="R745" s="9"/>
    </row>
    <row r="746">
      <c r="D746" s="9"/>
      <c r="H746" s="9"/>
      <c r="M746" s="9"/>
      <c r="R746" s="9"/>
    </row>
    <row r="747">
      <c r="D747" s="9"/>
      <c r="H747" s="9"/>
      <c r="M747" s="9"/>
      <c r="R747" s="9"/>
    </row>
    <row r="748">
      <c r="D748" s="9"/>
      <c r="H748" s="9"/>
      <c r="M748" s="9"/>
      <c r="R748" s="9"/>
    </row>
    <row r="749">
      <c r="D749" s="9"/>
      <c r="H749" s="9"/>
      <c r="M749" s="9"/>
      <c r="R749" s="9"/>
    </row>
    <row r="750">
      <c r="D750" s="9"/>
      <c r="H750" s="9"/>
      <c r="M750" s="9"/>
      <c r="R750" s="9"/>
    </row>
    <row r="751">
      <c r="D751" s="9"/>
      <c r="H751" s="9"/>
      <c r="M751" s="9"/>
      <c r="R751" s="9"/>
    </row>
    <row r="752">
      <c r="D752" s="9"/>
      <c r="H752" s="9"/>
      <c r="M752" s="9"/>
      <c r="R752" s="9"/>
    </row>
    <row r="753">
      <c r="D753" s="9"/>
      <c r="H753" s="9"/>
      <c r="M753" s="9"/>
      <c r="R753" s="9"/>
    </row>
    <row r="754">
      <c r="D754" s="9"/>
      <c r="H754" s="9"/>
      <c r="M754" s="9"/>
      <c r="R754" s="9"/>
    </row>
    <row r="755">
      <c r="D755" s="9"/>
      <c r="H755" s="9"/>
      <c r="M755" s="9"/>
      <c r="R755" s="9"/>
    </row>
    <row r="756">
      <c r="D756" s="9"/>
      <c r="H756" s="9"/>
      <c r="M756" s="9"/>
      <c r="R756" s="9"/>
    </row>
    <row r="757">
      <c r="D757" s="9"/>
      <c r="H757" s="9"/>
      <c r="M757" s="9"/>
      <c r="R757" s="9"/>
    </row>
    <row r="758">
      <c r="D758" s="9"/>
      <c r="H758" s="9"/>
      <c r="M758" s="9"/>
      <c r="R758" s="9"/>
    </row>
    <row r="759">
      <c r="D759" s="9"/>
      <c r="H759" s="9"/>
      <c r="M759" s="9"/>
      <c r="R759" s="9"/>
    </row>
    <row r="760">
      <c r="D760" s="9"/>
      <c r="H760" s="9"/>
      <c r="M760" s="9"/>
      <c r="R760" s="9"/>
    </row>
    <row r="761">
      <c r="D761" s="9"/>
      <c r="H761" s="9"/>
      <c r="M761" s="9"/>
      <c r="R761" s="9"/>
    </row>
    <row r="762">
      <c r="D762" s="9"/>
      <c r="H762" s="9"/>
      <c r="M762" s="9"/>
      <c r="R762" s="9"/>
    </row>
    <row r="763">
      <c r="D763" s="9"/>
      <c r="H763" s="9"/>
      <c r="M763" s="9"/>
      <c r="R763" s="9"/>
    </row>
    <row r="764">
      <c r="D764" s="9"/>
      <c r="H764" s="9"/>
      <c r="M764" s="9"/>
      <c r="R764" s="9"/>
    </row>
    <row r="765">
      <c r="D765" s="9"/>
      <c r="H765" s="9"/>
      <c r="M765" s="9"/>
      <c r="R765" s="9"/>
    </row>
    <row r="766">
      <c r="D766" s="9"/>
      <c r="H766" s="9"/>
      <c r="M766" s="9"/>
      <c r="R766" s="9"/>
    </row>
    <row r="767">
      <c r="D767" s="9"/>
      <c r="H767" s="9"/>
      <c r="M767" s="9"/>
      <c r="R767" s="9"/>
    </row>
    <row r="768">
      <c r="D768" s="9"/>
      <c r="H768" s="9"/>
      <c r="M768" s="9"/>
      <c r="R768" s="9"/>
    </row>
    <row r="769">
      <c r="D769" s="9"/>
      <c r="H769" s="9"/>
      <c r="M769" s="9"/>
      <c r="R769" s="9"/>
    </row>
    <row r="770">
      <c r="D770" s="9"/>
      <c r="H770" s="9"/>
      <c r="M770" s="9"/>
      <c r="R770" s="9"/>
    </row>
    <row r="771">
      <c r="D771" s="9"/>
      <c r="H771" s="9"/>
      <c r="M771" s="9"/>
      <c r="R771" s="9"/>
    </row>
    <row r="772">
      <c r="D772" s="9"/>
      <c r="H772" s="9"/>
      <c r="M772" s="9"/>
      <c r="R772" s="9"/>
    </row>
    <row r="773">
      <c r="D773" s="9"/>
      <c r="H773" s="9"/>
      <c r="M773" s="9"/>
      <c r="R773" s="9"/>
    </row>
    <row r="774">
      <c r="D774" s="9"/>
      <c r="H774" s="9"/>
      <c r="M774" s="9"/>
      <c r="R774" s="9"/>
    </row>
    <row r="775">
      <c r="D775" s="9"/>
      <c r="H775" s="9"/>
      <c r="M775" s="9"/>
      <c r="R775" s="9"/>
    </row>
    <row r="776">
      <c r="D776" s="9"/>
      <c r="H776" s="9"/>
      <c r="M776" s="9"/>
      <c r="R776" s="9"/>
    </row>
    <row r="777">
      <c r="D777" s="9"/>
      <c r="H777" s="9"/>
      <c r="M777" s="9"/>
      <c r="R777" s="9"/>
    </row>
    <row r="778">
      <c r="D778" s="9"/>
      <c r="H778" s="9"/>
      <c r="M778" s="9"/>
      <c r="R778" s="9"/>
    </row>
    <row r="779">
      <c r="D779" s="9"/>
      <c r="H779" s="9"/>
      <c r="M779" s="9"/>
      <c r="R779" s="9"/>
    </row>
    <row r="780">
      <c r="D780" s="9"/>
      <c r="H780" s="9"/>
      <c r="M780" s="9"/>
      <c r="R780" s="9"/>
    </row>
    <row r="781">
      <c r="D781" s="9"/>
      <c r="H781" s="9"/>
      <c r="M781" s="9"/>
      <c r="R781" s="9"/>
    </row>
    <row r="782">
      <c r="D782" s="9"/>
      <c r="H782" s="9"/>
      <c r="M782" s="9"/>
      <c r="R782" s="9"/>
    </row>
    <row r="783">
      <c r="D783" s="9"/>
      <c r="H783" s="9"/>
      <c r="M783" s="9"/>
      <c r="R783" s="9"/>
    </row>
    <row r="784">
      <c r="D784" s="9"/>
      <c r="H784" s="9"/>
      <c r="M784" s="9"/>
      <c r="R784" s="9"/>
    </row>
    <row r="785">
      <c r="D785" s="9"/>
      <c r="H785" s="9"/>
      <c r="M785" s="9"/>
      <c r="R785" s="9"/>
    </row>
    <row r="786">
      <c r="D786" s="9"/>
      <c r="H786" s="9"/>
      <c r="M786" s="9"/>
      <c r="R786" s="9"/>
    </row>
    <row r="787">
      <c r="D787" s="9"/>
      <c r="H787" s="9"/>
      <c r="M787" s="9"/>
      <c r="R787" s="9"/>
    </row>
    <row r="788">
      <c r="D788" s="9"/>
      <c r="H788" s="9"/>
      <c r="M788" s="9"/>
      <c r="R788" s="9"/>
    </row>
    <row r="789">
      <c r="D789" s="9"/>
      <c r="H789" s="9"/>
      <c r="M789" s="9"/>
      <c r="R789" s="9"/>
    </row>
    <row r="790">
      <c r="D790" s="9"/>
      <c r="H790" s="9"/>
      <c r="M790" s="9"/>
      <c r="R790" s="9"/>
    </row>
    <row r="791">
      <c r="D791" s="9"/>
      <c r="H791" s="9"/>
      <c r="M791" s="9"/>
      <c r="R791" s="9"/>
    </row>
    <row r="792">
      <c r="D792" s="9"/>
      <c r="H792" s="9"/>
      <c r="M792" s="9"/>
      <c r="R792" s="9"/>
    </row>
    <row r="793">
      <c r="D793" s="9"/>
      <c r="H793" s="9"/>
      <c r="M793" s="9"/>
      <c r="R793" s="9"/>
    </row>
    <row r="794">
      <c r="D794" s="9"/>
      <c r="H794" s="9"/>
      <c r="M794" s="9"/>
      <c r="R794" s="9"/>
    </row>
    <row r="795">
      <c r="D795" s="9"/>
      <c r="H795" s="9"/>
      <c r="M795" s="9"/>
      <c r="R795" s="9"/>
    </row>
    <row r="796">
      <c r="D796" s="9"/>
      <c r="H796" s="9"/>
      <c r="M796" s="9"/>
      <c r="R796" s="9"/>
    </row>
    <row r="797">
      <c r="D797" s="9"/>
      <c r="H797" s="9"/>
      <c r="M797" s="9"/>
      <c r="R797" s="9"/>
    </row>
    <row r="798">
      <c r="D798" s="9"/>
      <c r="H798" s="9"/>
      <c r="M798" s="9"/>
      <c r="R798" s="9"/>
    </row>
    <row r="799">
      <c r="D799" s="9"/>
      <c r="H799" s="9"/>
      <c r="M799" s="9"/>
      <c r="R799" s="9"/>
    </row>
    <row r="800">
      <c r="D800" s="9"/>
      <c r="H800" s="9"/>
      <c r="M800" s="9"/>
      <c r="R800" s="9"/>
    </row>
    <row r="801">
      <c r="D801" s="9"/>
      <c r="H801" s="9"/>
      <c r="M801" s="9"/>
      <c r="R801" s="9"/>
    </row>
    <row r="802">
      <c r="D802" s="9"/>
      <c r="H802" s="9"/>
      <c r="M802" s="9"/>
      <c r="R802" s="9"/>
    </row>
    <row r="803">
      <c r="D803" s="9"/>
      <c r="H803" s="9"/>
      <c r="M803" s="9"/>
      <c r="R803" s="9"/>
    </row>
    <row r="804">
      <c r="D804" s="9"/>
      <c r="H804" s="9"/>
      <c r="M804" s="9"/>
      <c r="R804" s="9"/>
    </row>
    <row r="805">
      <c r="D805" s="9"/>
      <c r="H805" s="9"/>
      <c r="M805" s="9"/>
      <c r="R805" s="9"/>
    </row>
    <row r="806">
      <c r="D806" s="9"/>
      <c r="H806" s="9"/>
      <c r="M806" s="9"/>
      <c r="R806" s="9"/>
    </row>
    <row r="807">
      <c r="D807" s="9"/>
      <c r="H807" s="9"/>
      <c r="M807" s="9"/>
      <c r="R807" s="9"/>
    </row>
    <row r="808">
      <c r="D808" s="9"/>
      <c r="H808" s="9"/>
      <c r="M808" s="9"/>
      <c r="R808" s="9"/>
    </row>
    <row r="809">
      <c r="D809" s="9"/>
      <c r="H809" s="9"/>
      <c r="M809" s="9"/>
      <c r="R809" s="9"/>
    </row>
    <row r="810">
      <c r="D810" s="9"/>
      <c r="H810" s="9"/>
      <c r="M810" s="9"/>
      <c r="R810" s="9"/>
    </row>
    <row r="811">
      <c r="D811" s="9"/>
      <c r="H811" s="9"/>
      <c r="M811" s="9"/>
      <c r="R811" s="9"/>
    </row>
    <row r="812">
      <c r="D812" s="9"/>
      <c r="H812" s="9"/>
      <c r="M812" s="9"/>
      <c r="R812" s="9"/>
    </row>
    <row r="813">
      <c r="D813" s="9"/>
      <c r="H813" s="9"/>
      <c r="M813" s="9"/>
      <c r="R813" s="9"/>
    </row>
    <row r="814">
      <c r="D814" s="9"/>
      <c r="H814" s="9"/>
      <c r="M814" s="9"/>
      <c r="R814" s="9"/>
    </row>
    <row r="815">
      <c r="D815" s="9"/>
      <c r="H815" s="9"/>
      <c r="M815" s="9"/>
      <c r="R815" s="9"/>
    </row>
    <row r="816">
      <c r="D816" s="9"/>
      <c r="H816" s="9"/>
      <c r="M816" s="9"/>
      <c r="R816" s="9"/>
    </row>
    <row r="817">
      <c r="D817" s="9"/>
      <c r="H817" s="9"/>
      <c r="M817" s="9"/>
      <c r="R817" s="9"/>
    </row>
    <row r="818">
      <c r="D818" s="9"/>
      <c r="H818" s="9"/>
      <c r="M818" s="9"/>
      <c r="R818" s="9"/>
    </row>
    <row r="819">
      <c r="D819" s="9"/>
      <c r="H819" s="9"/>
      <c r="M819" s="9"/>
      <c r="R819" s="9"/>
    </row>
    <row r="820">
      <c r="D820" s="9"/>
      <c r="H820" s="9"/>
      <c r="M820" s="9"/>
      <c r="R820" s="9"/>
    </row>
    <row r="821">
      <c r="D821" s="9"/>
      <c r="H821" s="9"/>
      <c r="M821" s="9"/>
      <c r="R821" s="9"/>
    </row>
    <row r="822">
      <c r="D822" s="9"/>
      <c r="H822" s="9"/>
      <c r="M822" s="9"/>
      <c r="R822" s="9"/>
    </row>
    <row r="823">
      <c r="D823" s="9"/>
      <c r="H823" s="9"/>
      <c r="M823" s="9"/>
      <c r="R823" s="9"/>
    </row>
    <row r="824">
      <c r="D824" s="9"/>
      <c r="H824" s="9"/>
      <c r="M824" s="9"/>
      <c r="R824" s="9"/>
    </row>
    <row r="825">
      <c r="D825" s="9"/>
      <c r="H825" s="9"/>
      <c r="M825" s="9"/>
      <c r="R825" s="9"/>
    </row>
    <row r="826">
      <c r="D826" s="9"/>
      <c r="H826" s="9"/>
      <c r="M826" s="9"/>
      <c r="R826" s="9"/>
    </row>
    <row r="827">
      <c r="D827" s="9"/>
      <c r="H827" s="9"/>
      <c r="M827" s="9"/>
      <c r="R827" s="9"/>
    </row>
    <row r="828">
      <c r="D828" s="9"/>
      <c r="H828" s="9"/>
      <c r="M828" s="9"/>
      <c r="R828" s="9"/>
    </row>
    <row r="829">
      <c r="D829" s="9"/>
      <c r="H829" s="9"/>
      <c r="M829" s="9"/>
      <c r="R829" s="9"/>
    </row>
    <row r="830">
      <c r="D830" s="9"/>
      <c r="H830" s="9"/>
      <c r="M830" s="9"/>
      <c r="R830" s="9"/>
    </row>
    <row r="831">
      <c r="D831" s="9"/>
      <c r="H831" s="9"/>
      <c r="M831" s="9"/>
      <c r="R831" s="9"/>
    </row>
    <row r="832">
      <c r="D832" s="9"/>
      <c r="H832" s="9"/>
      <c r="M832" s="9"/>
      <c r="R832" s="9"/>
    </row>
    <row r="833">
      <c r="D833" s="9"/>
      <c r="H833" s="9"/>
      <c r="M833" s="9"/>
      <c r="R833" s="9"/>
    </row>
    <row r="834">
      <c r="D834" s="9"/>
      <c r="H834" s="9"/>
      <c r="M834" s="9"/>
      <c r="R834" s="9"/>
    </row>
    <row r="835">
      <c r="D835" s="9"/>
      <c r="H835" s="9"/>
      <c r="M835" s="9"/>
      <c r="R835" s="9"/>
    </row>
    <row r="836">
      <c r="D836" s="9"/>
      <c r="H836" s="9"/>
      <c r="M836" s="9"/>
      <c r="R836" s="9"/>
    </row>
    <row r="837">
      <c r="D837" s="9"/>
      <c r="H837" s="9"/>
      <c r="M837" s="9"/>
      <c r="R837" s="9"/>
    </row>
    <row r="838">
      <c r="D838" s="9"/>
      <c r="H838" s="9"/>
      <c r="M838" s="9"/>
      <c r="R838" s="9"/>
    </row>
    <row r="839">
      <c r="D839" s="9"/>
      <c r="H839" s="9"/>
      <c r="M839" s="9"/>
      <c r="R839" s="9"/>
    </row>
    <row r="840">
      <c r="D840" s="9"/>
      <c r="H840" s="9"/>
      <c r="M840" s="9"/>
      <c r="R840" s="9"/>
    </row>
    <row r="841">
      <c r="D841" s="9"/>
      <c r="H841" s="9"/>
      <c r="M841" s="9"/>
      <c r="R841" s="9"/>
    </row>
    <row r="842">
      <c r="D842" s="9"/>
      <c r="H842" s="9"/>
      <c r="M842" s="9"/>
      <c r="R842" s="9"/>
    </row>
    <row r="843">
      <c r="D843" s="9"/>
      <c r="H843" s="9"/>
      <c r="M843" s="9"/>
      <c r="R843" s="9"/>
    </row>
    <row r="844">
      <c r="D844" s="9"/>
      <c r="H844" s="9"/>
      <c r="M844" s="9"/>
      <c r="R844" s="9"/>
    </row>
    <row r="845">
      <c r="D845" s="9"/>
      <c r="H845" s="9"/>
      <c r="M845" s="9"/>
      <c r="R845" s="9"/>
    </row>
    <row r="846">
      <c r="D846" s="9"/>
      <c r="H846" s="9"/>
      <c r="M846" s="9"/>
      <c r="R846" s="9"/>
    </row>
    <row r="847">
      <c r="D847" s="9"/>
      <c r="H847" s="9"/>
      <c r="M847" s="9"/>
      <c r="R847" s="9"/>
    </row>
    <row r="848">
      <c r="D848" s="9"/>
      <c r="H848" s="9"/>
      <c r="M848" s="9"/>
      <c r="R848" s="9"/>
    </row>
    <row r="849">
      <c r="D849" s="9"/>
      <c r="H849" s="9"/>
      <c r="M849" s="9"/>
      <c r="R849" s="9"/>
    </row>
    <row r="850">
      <c r="D850" s="9"/>
      <c r="H850" s="9"/>
      <c r="M850" s="9"/>
      <c r="R850" s="9"/>
    </row>
    <row r="851">
      <c r="D851" s="9"/>
      <c r="H851" s="9"/>
      <c r="M851" s="9"/>
      <c r="R851" s="9"/>
    </row>
    <row r="852">
      <c r="D852" s="9"/>
      <c r="H852" s="9"/>
      <c r="M852" s="9"/>
      <c r="R852" s="9"/>
    </row>
    <row r="853">
      <c r="D853" s="9"/>
      <c r="H853" s="9"/>
      <c r="M853" s="9"/>
      <c r="R853" s="9"/>
    </row>
    <row r="854">
      <c r="D854" s="9"/>
      <c r="H854" s="9"/>
      <c r="M854" s="9"/>
      <c r="R854" s="9"/>
    </row>
    <row r="855">
      <c r="D855" s="9"/>
      <c r="H855" s="9"/>
      <c r="M855" s="9"/>
      <c r="R855" s="9"/>
    </row>
    <row r="856">
      <c r="D856" s="9"/>
      <c r="H856" s="9"/>
      <c r="M856" s="9"/>
      <c r="R856" s="9"/>
    </row>
    <row r="857">
      <c r="D857" s="9"/>
      <c r="H857" s="9"/>
      <c r="M857" s="9"/>
      <c r="R857" s="9"/>
    </row>
    <row r="858">
      <c r="D858" s="9"/>
      <c r="H858" s="9"/>
      <c r="M858" s="9"/>
      <c r="R858" s="9"/>
    </row>
    <row r="859">
      <c r="D859" s="9"/>
      <c r="H859" s="9"/>
      <c r="M859" s="9"/>
      <c r="R859" s="9"/>
    </row>
    <row r="860">
      <c r="D860" s="9"/>
      <c r="H860" s="9"/>
      <c r="M860" s="9"/>
      <c r="R860" s="9"/>
    </row>
    <row r="861">
      <c r="D861" s="9"/>
      <c r="H861" s="9"/>
      <c r="M861" s="9"/>
      <c r="R861" s="9"/>
    </row>
    <row r="862">
      <c r="D862" s="9"/>
      <c r="H862" s="9"/>
      <c r="M862" s="9"/>
      <c r="R862" s="9"/>
    </row>
    <row r="863">
      <c r="D863" s="9"/>
      <c r="H863" s="9"/>
      <c r="M863" s="9"/>
      <c r="R863" s="9"/>
    </row>
    <row r="864">
      <c r="D864" s="9"/>
      <c r="H864" s="9"/>
      <c r="M864" s="9"/>
      <c r="R864" s="9"/>
    </row>
    <row r="865">
      <c r="D865" s="9"/>
      <c r="H865" s="9"/>
      <c r="M865" s="9"/>
      <c r="R865" s="9"/>
    </row>
    <row r="866">
      <c r="D866" s="9"/>
      <c r="H866" s="9"/>
      <c r="M866" s="9"/>
      <c r="R866" s="9"/>
    </row>
    <row r="867">
      <c r="D867" s="9"/>
      <c r="H867" s="9"/>
      <c r="M867" s="9"/>
      <c r="R867" s="9"/>
    </row>
    <row r="868">
      <c r="D868" s="9"/>
      <c r="H868" s="9"/>
      <c r="M868" s="9"/>
      <c r="R868" s="9"/>
    </row>
    <row r="869">
      <c r="D869" s="9"/>
      <c r="H869" s="9"/>
      <c r="M869" s="9"/>
      <c r="R869" s="9"/>
    </row>
    <row r="870">
      <c r="D870" s="9"/>
      <c r="H870" s="9"/>
      <c r="M870" s="9"/>
      <c r="R870" s="9"/>
    </row>
    <row r="871">
      <c r="D871" s="9"/>
      <c r="H871" s="9"/>
      <c r="M871" s="9"/>
      <c r="R871" s="9"/>
    </row>
    <row r="872">
      <c r="D872" s="9"/>
      <c r="H872" s="9"/>
      <c r="M872" s="9"/>
      <c r="R872" s="9"/>
    </row>
    <row r="873">
      <c r="D873" s="9"/>
      <c r="H873" s="9"/>
      <c r="M873" s="9"/>
      <c r="R873" s="9"/>
    </row>
    <row r="874">
      <c r="D874" s="9"/>
      <c r="H874" s="9"/>
      <c r="M874" s="9"/>
      <c r="R874" s="9"/>
    </row>
    <row r="875">
      <c r="D875" s="9"/>
      <c r="H875" s="9"/>
      <c r="M875" s="9"/>
      <c r="R875" s="9"/>
    </row>
    <row r="876">
      <c r="D876" s="9"/>
      <c r="H876" s="9"/>
      <c r="M876" s="9"/>
      <c r="R876" s="9"/>
    </row>
    <row r="877">
      <c r="D877" s="9"/>
      <c r="H877" s="9"/>
      <c r="M877" s="9"/>
      <c r="R877" s="9"/>
    </row>
    <row r="878">
      <c r="D878" s="9"/>
      <c r="H878" s="9"/>
      <c r="M878" s="9"/>
      <c r="R878" s="9"/>
    </row>
    <row r="879">
      <c r="D879" s="9"/>
      <c r="H879" s="9"/>
      <c r="M879" s="9"/>
      <c r="R879" s="9"/>
    </row>
    <row r="880">
      <c r="D880" s="9"/>
      <c r="H880" s="9"/>
      <c r="M880" s="9"/>
      <c r="R880" s="9"/>
    </row>
    <row r="881">
      <c r="D881" s="9"/>
      <c r="H881" s="9"/>
      <c r="M881" s="9"/>
      <c r="R881" s="9"/>
    </row>
    <row r="882">
      <c r="D882" s="9"/>
      <c r="H882" s="9"/>
      <c r="M882" s="9"/>
      <c r="R882" s="9"/>
    </row>
    <row r="883">
      <c r="D883" s="9"/>
      <c r="H883" s="9"/>
      <c r="M883" s="9"/>
      <c r="R883" s="9"/>
    </row>
    <row r="884">
      <c r="D884" s="9"/>
      <c r="H884" s="9"/>
      <c r="M884" s="9"/>
      <c r="R884" s="9"/>
    </row>
    <row r="885">
      <c r="D885" s="9"/>
      <c r="H885" s="9"/>
      <c r="M885" s="9"/>
      <c r="R885" s="9"/>
    </row>
    <row r="886">
      <c r="D886" s="9"/>
      <c r="H886" s="9"/>
      <c r="M886" s="9"/>
      <c r="R886" s="9"/>
    </row>
    <row r="887">
      <c r="D887" s="9"/>
      <c r="H887" s="9"/>
      <c r="M887" s="9"/>
      <c r="R887" s="9"/>
    </row>
    <row r="888">
      <c r="D888" s="9"/>
      <c r="H888" s="9"/>
      <c r="M888" s="9"/>
      <c r="R888" s="9"/>
    </row>
    <row r="889">
      <c r="D889" s="9"/>
      <c r="H889" s="9"/>
      <c r="M889" s="9"/>
      <c r="R889" s="9"/>
    </row>
    <row r="890">
      <c r="D890" s="9"/>
      <c r="H890" s="9"/>
      <c r="M890" s="9"/>
      <c r="R890" s="9"/>
    </row>
    <row r="891">
      <c r="D891" s="9"/>
      <c r="H891" s="9"/>
      <c r="M891" s="9"/>
      <c r="R891" s="9"/>
    </row>
    <row r="892">
      <c r="D892" s="9"/>
      <c r="H892" s="9"/>
      <c r="M892" s="9"/>
      <c r="R892" s="9"/>
    </row>
    <row r="893">
      <c r="D893" s="9"/>
      <c r="H893" s="9"/>
      <c r="M893" s="9"/>
      <c r="R893" s="9"/>
    </row>
    <row r="894">
      <c r="D894" s="9"/>
      <c r="H894" s="9"/>
      <c r="M894" s="9"/>
      <c r="R894" s="9"/>
    </row>
    <row r="895">
      <c r="D895" s="9"/>
      <c r="H895" s="9"/>
      <c r="M895" s="9"/>
      <c r="R895" s="9"/>
    </row>
    <row r="896">
      <c r="D896" s="9"/>
      <c r="H896" s="9"/>
      <c r="M896" s="9"/>
      <c r="R896" s="9"/>
    </row>
    <row r="897">
      <c r="D897" s="9"/>
      <c r="H897" s="9"/>
      <c r="M897" s="9"/>
      <c r="R897" s="9"/>
    </row>
    <row r="898">
      <c r="D898" s="9"/>
      <c r="H898" s="9"/>
      <c r="M898" s="9"/>
      <c r="R898" s="9"/>
    </row>
    <row r="899">
      <c r="D899" s="9"/>
      <c r="H899" s="9"/>
      <c r="M899" s="9"/>
      <c r="R899" s="9"/>
    </row>
    <row r="900">
      <c r="D900" s="9"/>
      <c r="H900" s="9"/>
      <c r="M900" s="9"/>
      <c r="R900" s="9"/>
    </row>
    <row r="901">
      <c r="D901" s="9"/>
      <c r="H901" s="9"/>
      <c r="M901" s="9"/>
      <c r="R901" s="9"/>
    </row>
    <row r="902">
      <c r="D902" s="9"/>
      <c r="H902" s="9"/>
      <c r="M902" s="9"/>
      <c r="R902" s="9"/>
    </row>
    <row r="903">
      <c r="D903" s="9"/>
      <c r="H903" s="9"/>
      <c r="M903" s="9"/>
      <c r="R903" s="9"/>
    </row>
    <row r="904">
      <c r="D904" s="9"/>
      <c r="H904" s="9"/>
      <c r="M904" s="9"/>
      <c r="R904" s="9"/>
    </row>
    <row r="905">
      <c r="D905" s="9"/>
      <c r="H905" s="9"/>
      <c r="M905" s="9"/>
      <c r="R905" s="9"/>
    </row>
    <row r="906">
      <c r="D906" s="9"/>
      <c r="H906" s="9"/>
      <c r="M906" s="9"/>
      <c r="R906" s="9"/>
    </row>
    <row r="907">
      <c r="D907" s="9"/>
      <c r="H907" s="9"/>
      <c r="M907" s="9"/>
      <c r="R907" s="9"/>
    </row>
    <row r="908">
      <c r="D908" s="9"/>
      <c r="H908" s="9"/>
      <c r="M908" s="9"/>
      <c r="R908" s="9"/>
    </row>
    <row r="909">
      <c r="D909" s="9"/>
      <c r="H909" s="9"/>
      <c r="M909" s="9"/>
      <c r="R909" s="9"/>
    </row>
    <row r="910">
      <c r="D910" s="9"/>
      <c r="H910" s="9"/>
      <c r="M910" s="9"/>
      <c r="R910" s="9"/>
    </row>
    <row r="911">
      <c r="D911" s="9"/>
      <c r="H911" s="9"/>
      <c r="M911" s="9"/>
      <c r="R911" s="9"/>
    </row>
    <row r="912">
      <c r="D912" s="9"/>
      <c r="H912" s="9"/>
      <c r="M912" s="9"/>
      <c r="R912" s="9"/>
    </row>
    <row r="913">
      <c r="D913" s="9"/>
      <c r="H913" s="9"/>
      <c r="M913" s="9"/>
      <c r="R913" s="9"/>
    </row>
    <row r="914">
      <c r="D914" s="9"/>
      <c r="H914" s="9"/>
      <c r="M914" s="9"/>
      <c r="R914" s="9"/>
    </row>
    <row r="915">
      <c r="D915" s="9"/>
      <c r="H915" s="9"/>
      <c r="M915" s="9"/>
      <c r="R915" s="9"/>
    </row>
    <row r="916">
      <c r="D916" s="9"/>
      <c r="H916" s="9"/>
      <c r="M916" s="9"/>
      <c r="R916" s="9"/>
    </row>
    <row r="917">
      <c r="D917" s="9"/>
      <c r="H917" s="9"/>
      <c r="M917" s="9"/>
      <c r="R917" s="9"/>
    </row>
    <row r="918">
      <c r="D918" s="9"/>
      <c r="H918" s="9"/>
      <c r="M918" s="9"/>
      <c r="R918" s="9"/>
    </row>
    <row r="919">
      <c r="D919" s="9"/>
      <c r="H919" s="9"/>
      <c r="M919" s="9"/>
      <c r="R919" s="9"/>
    </row>
    <row r="920">
      <c r="D920" s="9"/>
      <c r="H920" s="9"/>
      <c r="M920" s="9"/>
      <c r="R920" s="9"/>
    </row>
    <row r="921">
      <c r="D921" s="9"/>
      <c r="H921" s="9"/>
      <c r="M921" s="9"/>
      <c r="R921" s="9"/>
    </row>
    <row r="922">
      <c r="D922" s="9"/>
      <c r="H922" s="9"/>
      <c r="M922" s="9"/>
      <c r="R922" s="9"/>
    </row>
    <row r="923">
      <c r="D923" s="9"/>
      <c r="H923" s="9"/>
      <c r="M923" s="9"/>
      <c r="R923" s="9"/>
    </row>
    <row r="924">
      <c r="D924" s="9"/>
      <c r="H924" s="9"/>
      <c r="M924" s="9"/>
      <c r="R924" s="9"/>
    </row>
    <row r="925">
      <c r="D925" s="9"/>
      <c r="H925" s="9"/>
      <c r="M925" s="9"/>
      <c r="R925" s="9"/>
    </row>
    <row r="926">
      <c r="D926" s="9"/>
      <c r="H926" s="9"/>
      <c r="M926" s="9"/>
      <c r="R926" s="9"/>
    </row>
    <row r="927">
      <c r="D927" s="9"/>
      <c r="H927" s="9"/>
      <c r="M927" s="9"/>
      <c r="R927" s="9"/>
    </row>
    <row r="928">
      <c r="D928" s="9"/>
      <c r="H928" s="9"/>
      <c r="M928" s="9"/>
      <c r="R928" s="9"/>
    </row>
    <row r="929">
      <c r="D929" s="9"/>
      <c r="H929" s="9"/>
      <c r="M929" s="9"/>
      <c r="R929" s="9"/>
    </row>
    <row r="930">
      <c r="D930" s="9"/>
      <c r="H930" s="9"/>
      <c r="M930" s="9"/>
      <c r="R930" s="9"/>
    </row>
    <row r="931">
      <c r="D931" s="9"/>
      <c r="H931" s="9"/>
      <c r="M931" s="9"/>
      <c r="R931" s="9"/>
    </row>
    <row r="932">
      <c r="D932" s="9"/>
      <c r="H932" s="9"/>
      <c r="M932" s="9"/>
      <c r="R932" s="9"/>
    </row>
    <row r="933">
      <c r="D933" s="9"/>
      <c r="H933" s="9"/>
      <c r="M933" s="9"/>
      <c r="R933" s="9"/>
    </row>
    <row r="934">
      <c r="D934" s="9"/>
      <c r="H934" s="9"/>
      <c r="M934" s="9"/>
      <c r="R934" s="9"/>
    </row>
    <row r="935">
      <c r="D935" s="9"/>
      <c r="H935" s="9"/>
      <c r="M935" s="9"/>
      <c r="R935" s="9"/>
    </row>
    <row r="936">
      <c r="D936" s="9"/>
      <c r="H936" s="9"/>
      <c r="M936" s="9"/>
      <c r="R936" s="9"/>
    </row>
    <row r="937">
      <c r="D937" s="9"/>
      <c r="H937" s="9"/>
      <c r="M937" s="9"/>
      <c r="R937" s="9"/>
    </row>
    <row r="938">
      <c r="D938" s="9"/>
      <c r="H938" s="9"/>
      <c r="M938" s="9"/>
      <c r="R938" s="9"/>
    </row>
    <row r="939">
      <c r="D939" s="9"/>
      <c r="H939" s="9"/>
      <c r="M939" s="9"/>
      <c r="R939" s="9"/>
    </row>
    <row r="940">
      <c r="D940" s="9"/>
      <c r="H940" s="9"/>
      <c r="M940" s="9"/>
      <c r="R940" s="9"/>
    </row>
    <row r="941">
      <c r="D941" s="9"/>
      <c r="H941" s="9"/>
      <c r="M941" s="9"/>
      <c r="R941" s="9"/>
    </row>
    <row r="942">
      <c r="D942" s="9"/>
      <c r="H942" s="9"/>
      <c r="M942" s="9"/>
      <c r="R942" s="9"/>
    </row>
    <row r="943">
      <c r="D943" s="9"/>
      <c r="H943" s="9"/>
      <c r="M943" s="9"/>
      <c r="R943" s="9"/>
    </row>
    <row r="944">
      <c r="D944" s="9"/>
      <c r="H944" s="9"/>
      <c r="M944" s="9"/>
      <c r="R944" s="9"/>
    </row>
    <row r="945">
      <c r="D945" s="9"/>
      <c r="H945" s="9"/>
      <c r="M945" s="9"/>
      <c r="R945" s="9"/>
    </row>
    <row r="946">
      <c r="D946" s="9"/>
      <c r="H946" s="9"/>
      <c r="M946" s="9"/>
      <c r="R946" s="9"/>
    </row>
    <row r="947">
      <c r="D947" s="9"/>
      <c r="H947" s="9"/>
      <c r="M947" s="9"/>
      <c r="R947" s="9"/>
    </row>
    <row r="948">
      <c r="D948" s="9"/>
      <c r="H948" s="9"/>
      <c r="M948" s="9"/>
      <c r="R948" s="9"/>
    </row>
    <row r="949">
      <c r="D949" s="9"/>
      <c r="H949" s="9"/>
      <c r="M949" s="9"/>
      <c r="R949" s="9"/>
    </row>
    <row r="950">
      <c r="D950" s="9"/>
      <c r="H950" s="9"/>
      <c r="M950" s="9"/>
      <c r="R950" s="9"/>
    </row>
    <row r="951">
      <c r="D951" s="9"/>
      <c r="H951" s="9"/>
      <c r="M951" s="9"/>
      <c r="R951" s="9"/>
    </row>
    <row r="952">
      <c r="D952" s="9"/>
      <c r="H952" s="9"/>
      <c r="M952" s="9"/>
      <c r="R952" s="9"/>
    </row>
    <row r="953">
      <c r="D953" s="9"/>
      <c r="H953" s="9"/>
      <c r="M953" s="9"/>
      <c r="R953" s="9"/>
    </row>
    <row r="954">
      <c r="D954" s="9"/>
      <c r="H954" s="9"/>
      <c r="M954" s="9"/>
      <c r="R954" s="9"/>
    </row>
    <row r="955">
      <c r="D955" s="9"/>
      <c r="H955" s="9"/>
      <c r="M955" s="9"/>
      <c r="R955" s="9"/>
    </row>
    <row r="956">
      <c r="D956" s="9"/>
      <c r="H956" s="9"/>
      <c r="M956" s="9"/>
      <c r="R956" s="9"/>
    </row>
    <row r="957">
      <c r="D957" s="9"/>
      <c r="H957" s="9"/>
      <c r="M957" s="9"/>
      <c r="R957" s="9"/>
    </row>
    <row r="958">
      <c r="D958" s="9"/>
      <c r="H958" s="9"/>
      <c r="M958" s="9"/>
      <c r="R958" s="9"/>
    </row>
    <row r="959">
      <c r="D959" s="9"/>
      <c r="H959" s="9"/>
      <c r="M959" s="9"/>
      <c r="R959" s="9"/>
    </row>
    <row r="960">
      <c r="D960" s="9"/>
      <c r="H960" s="9"/>
      <c r="M960" s="9"/>
      <c r="R960" s="9"/>
    </row>
    <row r="961">
      <c r="D961" s="9"/>
      <c r="H961" s="9"/>
      <c r="M961" s="9"/>
      <c r="R961" s="9"/>
    </row>
    <row r="962">
      <c r="D962" s="9"/>
      <c r="H962" s="9"/>
      <c r="M962" s="9"/>
      <c r="R962" s="9"/>
    </row>
    <row r="963">
      <c r="D963" s="9"/>
      <c r="H963" s="9"/>
      <c r="M963" s="9"/>
      <c r="R963" s="9"/>
    </row>
    <row r="964">
      <c r="D964" s="9"/>
      <c r="H964" s="9"/>
      <c r="M964" s="9"/>
      <c r="R964" s="9"/>
    </row>
    <row r="965">
      <c r="D965" s="9"/>
      <c r="H965" s="9"/>
      <c r="M965" s="9"/>
      <c r="R965" s="9"/>
    </row>
    <row r="966">
      <c r="D966" s="9"/>
      <c r="H966" s="9"/>
      <c r="M966" s="9"/>
      <c r="R966" s="9"/>
    </row>
    <row r="967">
      <c r="D967" s="9"/>
      <c r="H967" s="9"/>
      <c r="M967" s="9"/>
      <c r="R967" s="9"/>
    </row>
    <row r="968">
      <c r="D968" s="9"/>
      <c r="H968" s="9"/>
      <c r="M968" s="9"/>
      <c r="R968" s="9"/>
    </row>
    <row r="969">
      <c r="D969" s="9"/>
      <c r="H969" s="9"/>
      <c r="M969" s="9"/>
      <c r="R969" s="9"/>
    </row>
    <row r="970">
      <c r="D970" s="9"/>
      <c r="H970" s="9"/>
      <c r="M970" s="9"/>
      <c r="R970" s="9"/>
    </row>
    <row r="971">
      <c r="D971" s="9"/>
      <c r="H971" s="9"/>
      <c r="M971" s="9"/>
      <c r="R971" s="9"/>
    </row>
    <row r="972">
      <c r="D972" s="9"/>
      <c r="H972" s="9"/>
      <c r="M972" s="9"/>
      <c r="R972" s="9"/>
    </row>
    <row r="973">
      <c r="D973" s="9"/>
      <c r="H973" s="9"/>
      <c r="M973" s="9"/>
      <c r="R973" s="9"/>
    </row>
    <row r="974">
      <c r="D974" s="9"/>
      <c r="H974" s="9"/>
      <c r="M974" s="9"/>
      <c r="R974" s="9"/>
    </row>
    <row r="975">
      <c r="D975" s="9"/>
      <c r="H975" s="9"/>
      <c r="M975" s="9"/>
      <c r="R975" s="9"/>
    </row>
    <row r="976">
      <c r="D976" s="9"/>
      <c r="H976" s="9"/>
      <c r="M976" s="9"/>
      <c r="R976" s="9"/>
    </row>
    <row r="977">
      <c r="D977" s="9"/>
      <c r="H977" s="9"/>
      <c r="M977" s="9"/>
      <c r="R977" s="9"/>
    </row>
    <row r="978">
      <c r="D978" s="9"/>
      <c r="H978" s="9"/>
      <c r="M978" s="9"/>
      <c r="R978" s="9"/>
    </row>
    <row r="979">
      <c r="D979" s="9"/>
      <c r="H979" s="9"/>
      <c r="M979" s="9"/>
      <c r="R979" s="9"/>
    </row>
    <row r="980">
      <c r="D980" s="9"/>
      <c r="H980" s="9"/>
      <c r="M980" s="9"/>
      <c r="R980" s="9"/>
    </row>
    <row r="981">
      <c r="D981" s="9"/>
      <c r="H981" s="9"/>
      <c r="M981" s="9"/>
      <c r="R981" s="9"/>
    </row>
    <row r="982">
      <c r="D982" s="9"/>
      <c r="H982" s="9"/>
      <c r="M982" s="9"/>
      <c r="R982" s="9"/>
    </row>
    <row r="983">
      <c r="D983" s="9"/>
      <c r="H983" s="9"/>
      <c r="M983" s="9"/>
      <c r="R983" s="9"/>
    </row>
    <row r="984">
      <c r="D984" s="9"/>
      <c r="H984" s="9"/>
      <c r="M984" s="9"/>
      <c r="R984" s="9"/>
    </row>
    <row r="985">
      <c r="D985" s="9"/>
      <c r="H985" s="9"/>
      <c r="M985" s="9"/>
      <c r="R985" s="9"/>
    </row>
    <row r="986">
      <c r="D986" s="9"/>
      <c r="H986" s="9"/>
      <c r="M986" s="9"/>
      <c r="R986" s="9"/>
    </row>
    <row r="987">
      <c r="D987" s="9"/>
      <c r="H987" s="9"/>
      <c r="M987" s="9"/>
      <c r="R987" s="9"/>
    </row>
    <row r="988">
      <c r="D988" s="9"/>
      <c r="H988" s="9"/>
      <c r="M988" s="9"/>
      <c r="R988" s="9"/>
    </row>
    <row r="989">
      <c r="D989" s="9"/>
      <c r="H989" s="9"/>
      <c r="M989" s="9"/>
      <c r="R989" s="9"/>
    </row>
    <row r="990">
      <c r="D990" s="9"/>
      <c r="H990" s="9"/>
      <c r="M990" s="9"/>
      <c r="R990" s="9"/>
    </row>
    <row r="991">
      <c r="D991" s="9"/>
      <c r="H991" s="9"/>
      <c r="M991" s="9"/>
      <c r="R991" s="9"/>
    </row>
    <row r="992">
      <c r="D992" s="9"/>
      <c r="H992" s="9"/>
      <c r="M992" s="9"/>
      <c r="R992" s="9"/>
    </row>
    <row r="993">
      <c r="D993" s="9"/>
      <c r="H993" s="9"/>
      <c r="M993" s="9"/>
      <c r="R993" s="9"/>
    </row>
    <row r="994">
      <c r="D994" s="9"/>
      <c r="H994" s="9"/>
      <c r="M994" s="9"/>
      <c r="R994" s="9"/>
    </row>
    <row r="995">
      <c r="D995" s="9"/>
      <c r="H995" s="9"/>
      <c r="M995" s="9"/>
      <c r="R995" s="9"/>
    </row>
    <row r="996">
      <c r="D996" s="9"/>
      <c r="H996" s="9"/>
      <c r="M996" s="9"/>
      <c r="R996" s="9"/>
    </row>
    <row r="997">
      <c r="D997" s="9"/>
      <c r="H997" s="9"/>
      <c r="M997" s="9"/>
      <c r="R997" s="9"/>
    </row>
    <row r="998">
      <c r="D998" s="9"/>
      <c r="H998" s="9"/>
      <c r="M998" s="9"/>
      <c r="R998" s="9"/>
    </row>
    <row r="999">
      <c r="D999" s="9"/>
      <c r="H999" s="9"/>
      <c r="M999" s="9"/>
      <c r="R999" s="9"/>
    </row>
    <row r="1000">
      <c r="D1000" s="9"/>
      <c r="H1000" s="9"/>
      <c r="M1000" s="9"/>
      <c r="R100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</cols>
  <sheetData>
    <row r="1">
      <c r="A1" s="11" t="s">
        <v>438</v>
      </c>
    </row>
    <row r="2" ht="15.0" customHeight="1">
      <c r="A2" s="12" t="s">
        <v>439</v>
      </c>
    </row>
    <row r="3">
      <c r="A3" s="13" t="s">
        <v>440</v>
      </c>
    </row>
  </sheetData>
  <mergeCells count="2">
    <mergeCell ref="A1:I1"/>
    <mergeCell ref="A2:B2"/>
  </mergeCells>
  <drawing r:id="rId1"/>
</worksheet>
</file>